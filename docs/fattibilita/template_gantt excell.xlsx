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\Desktop\scuola\5 INFO\GPOI\progetto-GPOI-5INFB-Guerini-Bertasa-Mutti-Zecchini\docs\fattibilita\"/>
    </mc:Choice>
  </mc:AlternateContent>
  <xr:revisionPtr revIDLastSave="0" documentId="13_ncr:1_{43EB4742-BA96-47EF-90DD-69DE526EB4F1}" xr6:coauthVersionLast="47" xr6:coauthVersionMax="47" xr10:uidLastSave="{00000000-0000-0000-0000-000000000000}"/>
  <bookViews>
    <workbookView xWindow="-98" yWindow="-98" windowWidth="21795" windowHeight="12975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9" i="1"/>
  <c r="I10" i="1"/>
  <c r="I11" i="1"/>
  <c r="I12" i="1"/>
  <c r="I14" i="1"/>
  <c r="I15" i="1"/>
  <c r="I16" i="1"/>
  <c r="I17" i="1"/>
  <c r="I18" i="1"/>
  <c r="I19" i="1"/>
  <c r="I21" i="1"/>
  <c r="I22" i="1"/>
  <c r="I23" i="1"/>
  <c r="I24" i="1"/>
  <c r="I25" i="1"/>
  <c r="I26" i="1"/>
  <c r="AS8" i="1"/>
  <c r="AS9" i="1"/>
  <c r="AT9" i="1" s="1"/>
  <c r="AU9" i="1" s="1"/>
  <c r="AS10" i="1"/>
  <c r="AT10" i="1" s="1"/>
  <c r="AU10" i="1" s="1"/>
  <c r="AS11" i="1"/>
  <c r="AT11" i="1" s="1"/>
  <c r="AU11" i="1" s="1"/>
  <c r="AS12" i="1"/>
  <c r="AT12" i="1" s="1"/>
  <c r="AU12" i="1" s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D3" i="1"/>
  <c r="M3" i="1"/>
  <c r="AQ3" i="1"/>
  <c r="AM3" i="1"/>
  <c r="AI3" i="1"/>
  <c r="Z3" i="1"/>
  <c r="V3" i="1"/>
  <c r="Q3" i="1"/>
  <c r="I3" i="1"/>
  <c r="AS30" i="1" l="1"/>
  <c r="AT8" i="1"/>
  <c r="AU8" i="1" l="1"/>
  <c r="AU30" i="1" s="1"/>
  <c r="AT30" i="1"/>
</calcChain>
</file>

<file path=xl/sharedStrings.xml><?xml version="1.0" encoding="utf-8"?>
<sst xmlns="http://schemas.openxmlformats.org/spreadsheetml/2006/main" count="64" uniqueCount="47">
  <si>
    <t>TASK</t>
  </si>
  <si>
    <t xml:space="preserve">START </t>
  </si>
  <si>
    <t>END</t>
  </si>
  <si>
    <t>Week</t>
  </si>
  <si>
    <t>Month</t>
  </si>
  <si>
    <t xml:space="preserve">  Task 2.4</t>
  </si>
  <si>
    <t xml:space="preserve">  Task 3.3</t>
  </si>
  <si>
    <t xml:space="preserve">  Task 3.4</t>
  </si>
  <si>
    <t>Days</t>
  </si>
  <si>
    <t>Development</t>
  </si>
  <si>
    <t>Marketing</t>
  </si>
  <si>
    <t>Selling</t>
  </si>
  <si>
    <t xml:space="preserve">  Task 4.2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</si>
  <si>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</si>
  <si>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</si>
  <si>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</si>
  <si>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</si>
  <si>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</si>
  <si>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</si>
  <si>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</si>
  <si>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</si>
  <si>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</si>
  <si>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</si>
  <si>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</si>
  <si>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</si>
  <si>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</si>
  <si>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</si>
  <si>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</si>
  <si>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</si>
  <si>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</si>
  <si>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progetto Poli-Demoni</t>
  </si>
  <si>
    <t xml:space="preserve"> </t>
  </si>
  <si>
    <t>definizione del progetto</t>
  </si>
  <si>
    <t>lavoro e sviluppo scheletro</t>
  </si>
  <si>
    <t>domande intervista</t>
  </si>
  <si>
    <t>task 1.3</t>
  </si>
  <si>
    <t>interviste polisportive</t>
  </si>
  <si>
    <t xml:space="preserve"> parte grafica</t>
  </si>
  <si>
    <t>ricerca contatti</t>
  </si>
  <si>
    <t xml:space="preserve"> ottenimento materiali polisportive </t>
  </si>
  <si>
    <t xml:space="preserve">  backend</t>
  </si>
  <si>
    <t xml:space="preserve"> frontend</t>
  </si>
  <si>
    <t>(Mutti, Bertasa, Guerini)</t>
  </si>
  <si>
    <t xml:space="preserve">Intro </t>
  </si>
  <si>
    <t>(Gruppo)</t>
  </si>
  <si>
    <t>(Zecchini)</t>
  </si>
  <si>
    <t>(Guerini)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</si>
</sst>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2" xfId="0" applyBorder="1" applyAlignment="1">
      <alignment horizontal="left" vertical="center" indent="1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Border="1" applyAlignment="1">
      <alignment horizontal="left" vertical="center" indent="1"/>
    </xf>
    <xf numFmtId="165" fontId="0" fillId="0" borderId="7" xfId="0" applyNumberFormat="1" applyFont="1" applyBorder="1" applyAlignment="1">
      <alignment horizontal="left" vertical="center"/>
    </xf>
    <xf numFmtId="0" fontId="8" fillId="14" borderId="7" xfId="0" applyFont="1" applyFill="1" applyBorder="1" applyAlignment="1">
      <alignment horizontal="left" vertical="center"/>
    </xf>
    <xf numFmtId="0" fontId="0" fillId="14" borderId="7" xfId="0" applyFill="1" applyBorder="1"/>
    <xf numFmtId="9" fontId="0" fillId="14" borderId="7" xfId="0" applyNumberFormat="1" applyFill="1" applyBorder="1" applyAlignment="1">
      <alignment horizontal="center" vertical="center"/>
    </xf>
    <xf numFmtId="14" fontId="0" fillId="14" borderId="7" xfId="0" applyNumberFormat="1" applyFill="1" applyBorder="1" applyAlignment="1">
      <alignment horizontal="left" vertical="center"/>
    </xf>
    <xf numFmtId="0" fontId="0" fillId="14" borderId="7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0" xfId="0" applyFill="1"/>
    <xf numFmtId="0" fontId="8" fillId="15" borderId="7" xfId="0" applyFont="1" applyFill="1" applyBorder="1" applyAlignment="1">
      <alignment horizontal="left" vertical="center"/>
    </xf>
    <xf numFmtId="0" fontId="0" fillId="15" borderId="0" xfId="0" applyFill="1"/>
    <xf numFmtId="9" fontId="0" fillId="15" borderId="7" xfId="0" applyNumberFormat="1" applyFill="1" applyBorder="1" applyAlignment="1">
      <alignment horizontal="center" vertical="center"/>
    </xf>
    <xf numFmtId="14" fontId="0" fillId="15" borderId="7" xfId="0" applyNumberFormat="1" applyFill="1" applyBorder="1" applyAlignment="1">
      <alignment horizontal="left" vertical="center"/>
    </xf>
    <xf numFmtId="0" fontId="0" fillId="15" borderId="7" xfId="0" applyFill="1" applyBorder="1"/>
    <xf numFmtId="0" fontId="0" fillId="15" borderId="7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8" fillId="16" borderId="6" xfId="0" applyFont="1" applyFill="1" applyBorder="1" applyAlignment="1">
      <alignment horizontal="left" vertical="center"/>
    </xf>
    <xf numFmtId="0" fontId="5" fillId="16" borderId="6" xfId="0" applyFont="1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16" borderId="6" xfId="0" applyFill="1" applyBorder="1"/>
    <xf numFmtId="0" fontId="0" fillId="16" borderId="6" xfId="0" applyFill="1" applyBorder="1" applyAlignment="1">
      <alignment horizontal="center"/>
    </xf>
    <xf numFmtId="0" fontId="0" fillId="16" borderId="0" xfId="0" applyFill="1"/>
    <xf numFmtId="0" fontId="10" fillId="15" borderId="0" xfId="0" applyFont="1" applyFill="1"/>
    <xf numFmtId="0" fontId="11" fillId="14" borderId="7" xfId="0" applyFont="1" applyFill="1" applyBorder="1"/>
    <xf numFmtId="0" fontId="8" fillId="17" borderId="7" xfId="0" applyFont="1" applyFill="1" applyBorder="1" applyAlignment="1">
      <alignment horizontal="left" vertical="center"/>
    </xf>
    <xf numFmtId="0" fontId="11" fillId="17" borderId="7" xfId="0" applyFont="1" applyFill="1" applyBorder="1" applyAlignment="1">
      <alignment horizontal="left" vertical="center" indent="1"/>
    </xf>
    <xf numFmtId="9" fontId="0" fillId="17" borderId="7" xfId="0" applyNumberFormat="1" applyFill="1" applyBorder="1" applyAlignment="1">
      <alignment horizontal="center" vertical="center"/>
    </xf>
    <xf numFmtId="0" fontId="0" fillId="17" borderId="7" xfId="0" applyFill="1" applyBorder="1" applyAlignment="1">
      <alignment horizontal="left" vertical="center"/>
    </xf>
    <xf numFmtId="0" fontId="0" fillId="17" borderId="7" xfId="0" applyFill="1" applyBorder="1"/>
    <xf numFmtId="0" fontId="0" fillId="17" borderId="7" xfId="0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0" xfId="0" applyFill="1"/>
    <xf numFmtId="0" fontId="0" fillId="18" borderId="0" xfId="0" applyFill="1"/>
    <xf numFmtId="0" fontId="0" fillId="19" borderId="9" xfId="0" applyFill="1" applyBorder="1" applyAlignment="1">
      <alignment horizontal="center"/>
    </xf>
    <xf numFmtId="0" fontId="0" fillId="3" borderId="0" xfId="0" applyFill="1"/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A2:CS39"/>
  <sheetViews>
    <sheetView showGridLines="0" tabSelected="1" zoomScale="58" zoomScaleNormal="58" workbookViewId="0">
      <selection activeCell="AC33" sqref="AC33"/>
    </sheetView>
  </sheetViews>
  <sheetFormatPr defaultRowHeight="14.25" x14ac:dyDescent="0.45"/>
  <cols>
    <col min="1" max="1" width="2.33203125" style="91" customWidth="1"/>
    <col min="2" max="2" width="6.1328125" style="91" customWidth="1"/>
    <col min="3" max="3" width="23" customWidth="1"/>
    <col min="4" max="4" width="16.6640625" customWidth="1"/>
    <col min="5" max="5" width="9.46484375" customWidth="1"/>
    <col min="6" max="6" width="10.46484375" customWidth="1"/>
    <col min="7" max="7" width="10.6640625" customWidth="1"/>
    <col min="9" max="9" width="5.53125" style="1" customWidth="1"/>
    <col min="10" max="43" width="6.796875" style="1" customWidth="1"/>
    <col min="45" max="49" width="13.796875" customWidth="1"/>
  </cols>
  <sheetData>
    <row r="2" spans="1:97" ht="27" customHeight="1" x14ac:dyDescent="0.45">
      <c r="C2" s="55" t="s">
        <v>30</v>
      </c>
      <c r="D2" s="55"/>
      <c r="E2" s="3"/>
    </row>
    <row r="3" spans="1:97" x14ac:dyDescent="0.45">
      <c r="C3" s="58" t="s">
        <v>18</v>
      </c>
      <c r="D3" s="58"/>
      <c r="H3" s="15" t="s">
        <v>4</v>
      </c>
      <c r="I3" s="52" t="str">
        <f>TEXT(I5,"MMM")</f>
        <v>Oct</v>
      </c>
      <c r="J3" s="53"/>
      <c r="K3" s="53"/>
      <c r="L3" s="54"/>
      <c r="M3" s="52" t="str">
        <f>TEXT(M5,"MMM")</f>
        <v>Nov</v>
      </c>
      <c r="N3" s="53"/>
      <c r="O3" s="53"/>
      <c r="P3" s="54"/>
      <c r="Q3" s="52" t="str">
        <f>TEXT(Q5,"MMM")</f>
        <v>Dec</v>
      </c>
      <c r="R3" s="53"/>
      <c r="S3" s="53"/>
      <c r="T3" s="53"/>
      <c r="U3" s="7"/>
      <c r="V3" s="52" t="str">
        <f>TEXT(V5,"MMM")</f>
        <v>Jan</v>
      </c>
      <c r="W3" s="53"/>
      <c r="X3" s="53"/>
      <c r="Y3" s="54"/>
      <c r="Z3" s="52" t="str">
        <f>TEXT(Z5,"MMM")</f>
        <v>Feb</v>
      </c>
      <c r="AA3" s="53"/>
      <c r="AB3" s="53"/>
      <c r="AC3" s="54"/>
      <c r="AD3" s="52" t="str">
        <f>TEXT(AD5,"MMM")</f>
        <v>Mar</v>
      </c>
      <c r="AE3" s="53"/>
      <c r="AF3" s="53"/>
      <c r="AG3" s="53"/>
      <c r="AH3" s="7"/>
      <c r="AI3" s="52" t="str">
        <f>TEXT(AI5,"MMM")</f>
        <v>Apr</v>
      </c>
      <c r="AJ3" s="53"/>
      <c r="AK3" s="53"/>
      <c r="AL3" s="54"/>
      <c r="AM3" s="52" t="str">
        <f>TEXT(AM5,"MMM")</f>
        <v>May</v>
      </c>
      <c r="AN3" s="53"/>
      <c r="AO3" s="53"/>
      <c r="AP3" s="54"/>
      <c r="AQ3" s="6" t="str">
        <f>TEXT(AQ5,"MMM")</f>
        <v>Jun</v>
      </c>
    </row>
    <row r="4" spans="1:97" x14ac:dyDescent="0.45">
      <c r="C4" t="s">
        <v>19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1:97" x14ac:dyDescent="0.45">
      <c r="H5" s="17" t="s">
        <v>8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1" t="s">
        <v>29</v>
      </c>
      <c r="AT5" s="45" t="s">
        <v>28</v>
      </c>
      <c r="AU5" s="42" t="s">
        <v>27</v>
      </c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3"/>
      <c r="BU5" s="93"/>
      <c r="BV5" s="93"/>
      <c r="BW5" s="93"/>
      <c r="BX5" s="93"/>
      <c r="BY5" s="93"/>
      <c r="BZ5" s="93"/>
      <c r="CA5" s="93"/>
      <c r="CB5" s="93"/>
      <c r="CC5" s="93"/>
      <c r="CD5" s="93"/>
      <c r="CE5" s="93"/>
      <c r="CF5" s="93"/>
      <c r="CG5" s="93"/>
      <c r="CH5" s="93"/>
      <c r="CI5" s="93"/>
      <c r="CJ5" s="93"/>
      <c r="CK5" s="93"/>
      <c r="CL5" s="93"/>
      <c r="CM5" s="93"/>
      <c r="CN5" s="93"/>
      <c r="CO5" s="93"/>
      <c r="CP5" s="93"/>
      <c r="CQ5" s="93"/>
      <c r="CR5" s="93"/>
      <c r="CS5" s="93"/>
    </row>
    <row r="6" spans="1:97" ht="21" customHeight="1" x14ac:dyDescent="0.45">
      <c r="C6" s="28" t="s">
        <v>0</v>
      </c>
      <c r="D6" s="28" t="s">
        <v>14</v>
      </c>
      <c r="E6" s="28" t="s">
        <v>13</v>
      </c>
      <c r="F6" s="29" t="s">
        <v>1</v>
      </c>
      <c r="G6" s="29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46"/>
      <c r="AU6" s="48"/>
      <c r="AV6" s="91"/>
      <c r="AW6" s="91"/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</row>
    <row r="7" spans="1:97" s="80" customFormat="1" ht="25.05" customHeight="1" x14ac:dyDescent="0.45">
      <c r="A7" s="91"/>
      <c r="B7" s="91"/>
      <c r="C7" s="75" t="s">
        <v>43</v>
      </c>
      <c r="D7" s="75" t="s">
        <v>44</v>
      </c>
      <c r="E7" s="76"/>
      <c r="F7" s="77"/>
      <c r="G7" s="77"/>
      <c r="H7" s="78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91"/>
      <c r="AS7" s="8"/>
      <c r="AT7" s="92"/>
      <c r="AU7" s="48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3"/>
      <c r="BU7" s="93"/>
      <c r="BV7" s="93"/>
      <c r="BW7" s="93"/>
      <c r="BX7" s="93"/>
      <c r="BY7" s="93"/>
      <c r="BZ7" s="93"/>
      <c r="CA7" s="93"/>
      <c r="CB7" s="93"/>
      <c r="CC7" s="93"/>
      <c r="CD7" s="93"/>
      <c r="CE7" s="93"/>
      <c r="CF7" s="93"/>
      <c r="CG7" s="93"/>
      <c r="CH7" s="93"/>
      <c r="CI7" s="93"/>
      <c r="CJ7" s="93"/>
      <c r="CK7" s="93"/>
      <c r="CL7" s="93"/>
      <c r="CM7" s="93"/>
      <c r="CN7" s="93"/>
      <c r="CO7" s="93"/>
      <c r="CP7" s="93"/>
      <c r="CQ7" s="93"/>
      <c r="CR7" s="93"/>
      <c r="CS7" s="93"/>
    </row>
    <row r="8" spans="1:97" ht="21" customHeight="1" x14ac:dyDescent="0.45">
      <c r="C8" s="27" t="s">
        <v>32</v>
      </c>
      <c r="D8" s="27" t="s">
        <v>15</v>
      </c>
      <c r="E8" s="25">
        <v>1</v>
      </c>
      <c r="F8" s="26">
        <v>45936</v>
      </c>
      <c r="G8" s="26">
        <v>45937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2"/>
      <c r="AS8" s="8">
        <f t="shared" ref="AS8:AS26" si="0">INT((G8-F8)/7)</f>
        <v>0</v>
      </c>
      <c r="AT8" s="46">
        <f>AS8*$D$36</f>
        <v>0</v>
      </c>
      <c r="AU8" s="48">
        <f>AT8*$D$37</f>
        <v>0</v>
      </c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  <c r="CI8" s="93"/>
      <c r="CJ8" s="93"/>
      <c r="CK8" s="93"/>
      <c r="CL8" s="93"/>
      <c r="CM8" s="93"/>
      <c r="CN8" s="93"/>
      <c r="CO8" s="93"/>
      <c r="CP8" s="93"/>
      <c r="CQ8" s="93"/>
      <c r="CR8" s="93"/>
      <c r="CS8" s="93"/>
    </row>
    <row r="9" spans="1:97" ht="21" customHeight="1" x14ac:dyDescent="0.45">
      <c r="C9" s="27" t="s">
        <v>33</v>
      </c>
      <c r="D9" s="27" t="s">
        <v>16</v>
      </c>
      <c r="E9" s="25">
        <v>1</v>
      </c>
      <c r="F9" s="26">
        <v>45940</v>
      </c>
      <c r="G9" s="26">
        <v>45945</v>
      </c>
      <c r="H9" s="23"/>
      <c r="I9" s="24">
        <f t="shared" ref="I9:I26" si="1">1*AND(I$5&gt;=task_start,I$5&lt;=task_start+(task_progress*(task_end-task_start+1))-1)</f>
        <v>0</v>
      </c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2"/>
      <c r="AS9" s="8">
        <f t="shared" si="0"/>
        <v>0</v>
      </c>
      <c r="AT9" s="46">
        <f t="shared" ref="AT9:AT26" si="2">AS9*$D$36</f>
        <v>0</v>
      </c>
      <c r="AU9" s="48">
        <f t="shared" ref="AU9:AU26" si="3">AT9*$D$37</f>
        <v>0</v>
      </c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3"/>
    </row>
    <row r="10" spans="1:97" ht="21" customHeight="1" x14ac:dyDescent="0.45">
      <c r="C10" s="27" t="s">
        <v>35</v>
      </c>
      <c r="D10" s="27" t="s">
        <v>17</v>
      </c>
      <c r="E10" s="25">
        <v>0</v>
      </c>
      <c r="F10" s="26">
        <v>45945</v>
      </c>
      <c r="G10" s="26">
        <v>45945</v>
      </c>
      <c r="H10" s="23"/>
      <c r="I10" s="24">
        <f t="shared" si="1"/>
        <v>0</v>
      </c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2"/>
      <c r="AS10" s="8">
        <f t="shared" si="0"/>
        <v>0</v>
      </c>
      <c r="AT10" s="46">
        <f t="shared" si="2"/>
        <v>0</v>
      </c>
      <c r="AU10" s="48">
        <f t="shared" si="3"/>
        <v>0</v>
      </c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3"/>
      <c r="BU10" s="93"/>
      <c r="BV10" s="93"/>
      <c r="BW10" s="93"/>
      <c r="BX10" s="93"/>
      <c r="BY10" s="93"/>
      <c r="BZ10" s="93"/>
      <c r="CA10" s="93"/>
      <c r="CB10" s="93"/>
      <c r="CC10" s="93"/>
      <c r="CD10" s="93"/>
      <c r="CE10" s="93"/>
      <c r="CF10" s="93"/>
      <c r="CG10" s="93"/>
      <c r="CH10" s="93"/>
      <c r="CI10" s="93"/>
      <c r="CJ10" s="93"/>
      <c r="CK10" s="93"/>
      <c r="CL10" s="93"/>
      <c r="CM10" s="93"/>
      <c r="CN10" s="93"/>
      <c r="CO10" s="93"/>
      <c r="CP10" s="93"/>
      <c r="CQ10" s="93"/>
      <c r="CR10" s="93"/>
      <c r="CS10" s="93"/>
    </row>
    <row r="11" spans="1:97" ht="21" customHeight="1" x14ac:dyDescent="0.45">
      <c r="C11" s="27"/>
      <c r="D11" s="27" t="s">
        <v>21</v>
      </c>
      <c r="E11" s="25">
        <v>0</v>
      </c>
      <c r="F11" s="26"/>
      <c r="G11" s="26"/>
      <c r="H11" s="23"/>
      <c r="I11" s="24">
        <f t="shared" si="1"/>
        <v>0</v>
      </c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2"/>
      <c r="AS11" s="8">
        <f t="shared" si="0"/>
        <v>0</v>
      </c>
      <c r="AT11" s="46">
        <f t="shared" si="2"/>
        <v>0</v>
      </c>
      <c r="AU11" s="48">
        <f t="shared" si="3"/>
        <v>0</v>
      </c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/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93"/>
      <c r="CP11" s="93"/>
      <c r="CQ11" s="93"/>
      <c r="CR11" s="93"/>
      <c r="CS11" s="93"/>
    </row>
    <row r="12" spans="1:97" s="69" customFormat="1" ht="25.05" customHeight="1" x14ac:dyDescent="0.5">
      <c r="A12" s="91"/>
      <c r="B12" s="91"/>
      <c r="C12" s="68" t="s">
        <v>9</v>
      </c>
      <c r="D12" s="81" t="s">
        <v>42</v>
      </c>
      <c r="E12" s="70"/>
      <c r="F12" s="71"/>
      <c r="G12" s="71"/>
      <c r="H12" s="72"/>
      <c r="I12" s="73">
        <f t="shared" si="1"/>
        <v>0</v>
      </c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4"/>
      <c r="AR12" s="91"/>
      <c r="AS12" s="8">
        <f t="shared" si="0"/>
        <v>0</v>
      </c>
      <c r="AT12" s="92">
        <f t="shared" si="2"/>
        <v>0</v>
      </c>
      <c r="AU12" s="48">
        <f t="shared" si="3"/>
        <v>0</v>
      </c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3"/>
      <c r="BU12" s="93"/>
      <c r="BV12" s="93"/>
      <c r="BW12" s="93"/>
      <c r="BX12" s="93"/>
      <c r="BY12" s="93"/>
      <c r="BZ12" s="93"/>
      <c r="CA12" s="93"/>
      <c r="CB12" s="93"/>
      <c r="CC12" s="93"/>
      <c r="CD12" s="93"/>
      <c r="CE12" s="93"/>
      <c r="CF12" s="93"/>
      <c r="CG12" s="93"/>
      <c r="CH12" s="93"/>
      <c r="CI12" s="93"/>
      <c r="CJ12" s="93"/>
      <c r="CK12" s="93"/>
      <c r="CL12" s="93"/>
      <c r="CM12" s="93"/>
      <c r="CN12" s="93"/>
      <c r="CO12" s="93"/>
      <c r="CP12" s="93"/>
      <c r="CQ12" s="93"/>
      <c r="CR12" s="93"/>
      <c r="CS12" s="93"/>
    </row>
    <row r="13" spans="1:97" ht="21" customHeight="1" x14ac:dyDescent="0.45">
      <c r="C13" s="27" t="s">
        <v>41</v>
      </c>
      <c r="D13" s="27" t="s">
        <v>15</v>
      </c>
      <c r="E13" s="25">
        <v>0.3</v>
      </c>
      <c r="F13" s="26">
        <v>45964</v>
      </c>
      <c r="G13" s="26">
        <v>46135</v>
      </c>
      <c r="H13" s="23"/>
      <c r="I13" s="24">
        <f>1*AND(I$5&gt;=task_start,I$5&lt;=task_start+(task_progress*(task_end-task_start+1))-1)</f>
        <v>0</v>
      </c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2"/>
      <c r="AS13" s="8">
        <f t="shared" si="0"/>
        <v>24</v>
      </c>
      <c r="AT13" s="46">
        <f t="shared" si="2"/>
        <v>72</v>
      </c>
      <c r="AU13" s="48">
        <f t="shared" si="3"/>
        <v>1080</v>
      </c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3"/>
      <c r="BU13" s="93"/>
      <c r="BV13" s="93"/>
      <c r="BW13" s="93"/>
      <c r="BX13" s="93"/>
      <c r="BY13" s="93"/>
      <c r="BZ13" s="93"/>
      <c r="CA13" s="93"/>
      <c r="CB13" s="93"/>
      <c r="CC13" s="93"/>
      <c r="CD13" s="93"/>
      <c r="CE13" s="93"/>
      <c r="CF13" s="93"/>
      <c r="CG13" s="93"/>
      <c r="CH13" s="93"/>
      <c r="CI13" s="93"/>
      <c r="CJ13" s="93"/>
      <c r="CK13" s="93"/>
      <c r="CL13" s="93"/>
      <c r="CM13" s="93"/>
      <c r="CN13" s="93"/>
      <c r="CO13" s="93"/>
      <c r="CP13" s="93"/>
      <c r="CQ13" s="93"/>
      <c r="CR13" s="93"/>
      <c r="CS13" s="93"/>
    </row>
    <row r="14" spans="1:97" ht="21" customHeight="1" x14ac:dyDescent="0.45">
      <c r="C14" s="27" t="s">
        <v>37</v>
      </c>
      <c r="D14" s="27" t="s">
        <v>16</v>
      </c>
      <c r="E14" s="25">
        <v>0.3</v>
      </c>
      <c r="F14" s="26">
        <v>45978</v>
      </c>
      <c r="G14" s="60">
        <v>46135</v>
      </c>
      <c r="H14" s="23"/>
      <c r="I14" s="24">
        <f t="shared" si="1"/>
        <v>0</v>
      </c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2"/>
      <c r="AS14" s="8">
        <f t="shared" si="0"/>
        <v>22</v>
      </c>
      <c r="AT14" s="46">
        <f t="shared" si="2"/>
        <v>66</v>
      </c>
      <c r="AU14" s="48">
        <f t="shared" si="3"/>
        <v>990</v>
      </c>
      <c r="AV14" s="91" t="s">
        <v>31</v>
      </c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3"/>
      <c r="BU14" s="93"/>
      <c r="BV14" s="93"/>
      <c r="BW14" s="93"/>
      <c r="BX14" s="93"/>
      <c r="BY14" s="93"/>
      <c r="BZ14" s="93"/>
      <c r="CA14" s="93"/>
      <c r="CB14" s="93"/>
      <c r="CC14" s="93"/>
      <c r="CD14" s="93"/>
      <c r="CE14" s="93"/>
      <c r="CF14" s="93"/>
      <c r="CG14" s="93"/>
      <c r="CH14" s="93"/>
      <c r="CI14" s="93"/>
      <c r="CJ14" s="93"/>
      <c r="CK14" s="93"/>
      <c r="CL14" s="93"/>
      <c r="CM14" s="93"/>
      <c r="CN14" s="93"/>
      <c r="CO14" s="93"/>
      <c r="CP14" s="93"/>
      <c r="CQ14" s="93"/>
      <c r="CR14" s="93"/>
      <c r="CS14" s="93"/>
    </row>
    <row r="15" spans="1:97" ht="21" customHeight="1" x14ac:dyDescent="0.45">
      <c r="C15" s="27" t="s">
        <v>40</v>
      </c>
      <c r="D15" s="27" t="s">
        <v>17</v>
      </c>
      <c r="E15" s="25">
        <v>0</v>
      </c>
      <c r="F15" s="26">
        <v>45992</v>
      </c>
      <c r="G15" s="26">
        <v>45770</v>
      </c>
      <c r="H15" s="23"/>
      <c r="I15" s="24">
        <f t="shared" si="1"/>
        <v>0</v>
      </c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2"/>
      <c r="AS15" s="8">
        <f t="shared" si="0"/>
        <v>-32</v>
      </c>
      <c r="AT15" s="46">
        <f t="shared" si="2"/>
        <v>-96</v>
      </c>
      <c r="AU15" s="48">
        <f t="shared" si="3"/>
        <v>-1440</v>
      </c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  <c r="CI15" s="93"/>
      <c r="CJ15" s="93"/>
      <c r="CK15" s="93"/>
      <c r="CL15" s="93"/>
      <c r="CM15" s="93"/>
      <c r="CN15" s="93"/>
      <c r="CO15" s="93"/>
      <c r="CP15" s="93"/>
      <c r="CQ15" s="93"/>
      <c r="CR15" s="93"/>
      <c r="CS15" s="93"/>
    </row>
    <row r="16" spans="1:97" ht="21" customHeight="1" x14ac:dyDescent="0.45">
      <c r="C16" s="27" t="s">
        <v>5</v>
      </c>
      <c r="D16" s="51" t="s">
        <v>21</v>
      </c>
      <c r="E16" s="25">
        <v>0</v>
      </c>
      <c r="F16" s="26">
        <v>45962</v>
      </c>
      <c r="G16" s="26">
        <v>45962</v>
      </c>
      <c r="H16" s="23"/>
      <c r="I16" s="24">
        <f t="shared" si="1"/>
        <v>0</v>
      </c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2"/>
      <c r="AS16" s="8">
        <f t="shared" si="0"/>
        <v>0</v>
      </c>
      <c r="AT16" s="46">
        <f t="shared" si="2"/>
        <v>0</v>
      </c>
      <c r="AU16" s="48">
        <f t="shared" si="3"/>
        <v>0</v>
      </c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  <c r="CI16" s="93"/>
      <c r="CJ16" s="93"/>
      <c r="CK16" s="93"/>
      <c r="CL16" s="93"/>
      <c r="CM16" s="93"/>
      <c r="CN16" s="93"/>
      <c r="CO16" s="93"/>
      <c r="CP16" s="93"/>
      <c r="CQ16" s="93"/>
      <c r="CR16" s="93"/>
      <c r="CS16" s="93"/>
    </row>
    <row r="17" spans="1:97" s="67" customFormat="1" ht="25.05" customHeight="1" x14ac:dyDescent="0.65">
      <c r="A17" s="91"/>
      <c r="B17" s="91"/>
      <c r="C17" s="61" t="s">
        <v>10</v>
      </c>
      <c r="D17" s="82" t="s">
        <v>45</v>
      </c>
      <c r="E17" s="63"/>
      <c r="F17" s="64"/>
      <c r="G17" s="64"/>
      <c r="H17" s="62"/>
      <c r="I17" s="65">
        <f t="shared" si="1"/>
        <v>0</v>
      </c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6"/>
      <c r="AR17" s="91"/>
      <c r="AS17" s="8">
        <f t="shared" si="0"/>
        <v>0</v>
      </c>
      <c r="AT17" s="92">
        <f t="shared" si="2"/>
        <v>0</v>
      </c>
      <c r="AU17" s="48">
        <f t="shared" si="3"/>
        <v>0</v>
      </c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3"/>
      <c r="BU17" s="93"/>
      <c r="BV17" s="93"/>
      <c r="BW17" s="93"/>
      <c r="BX17" s="93"/>
      <c r="BY17" s="93"/>
      <c r="BZ17" s="93"/>
      <c r="CA17" s="93"/>
      <c r="CB17" s="93"/>
      <c r="CC17" s="93"/>
      <c r="CD17" s="93"/>
      <c r="CE17" s="93"/>
      <c r="CF17" s="93"/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</row>
    <row r="18" spans="1:97" ht="21" customHeight="1" x14ac:dyDescent="0.45">
      <c r="C18" s="27" t="s">
        <v>34</v>
      </c>
      <c r="D18" s="50" t="s">
        <v>15</v>
      </c>
      <c r="E18" s="25">
        <v>1</v>
      </c>
      <c r="F18" s="26">
        <v>45945</v>
      </c>
      <c r="G18" s="26">
        <v>45950</v>
      </c>
      <c r="H18" s="23"/>
      <c r="I18" s="24">
        <f t="shared" si="1"/>
        <v>0</v>
      </c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2"/>
      <c r="AS18" s="8">
        <f t="shared" si="0"/>
        <v>0</v>
      </c>
      <c r="AT18" s="46">
        <f t="shared" si="2"/>
        <v>0</v>
      </c>
      <c r="AU18" s="48">
        <f t="shared" si="3"/>
        <v>0</v>
      </c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/>
      <c r="CE18" s="93"/>
      <c r="CF18" s="93"/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</row>
    <row r="19" spans="1:97" ht="21" customHeight="1" x14ac:dyDescent="0.45">
      <c r="C19" s="27" t="s">
        <v>38</v>
      </c>
      <c r="D19" s="27" t="s">
        <v>16</v>
      </c>
      <c r="E19" s="25">
        <v>1</v>
      </c>
      <c r="F19" s="26">
        <v>45962</v>
      </c>
      <c r="G19" s="26">
        <v>45979</v>
      </c>
      <c r="H19" s="23"/>
      <c r="I19" s="24">
        <f t="shared" si="1"/>
        <v>0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2"/>
      <c r="AS19" s="8">
        <f t="shared" si="0"/>
        <v>2</v>
      </c>
      <c r="AT19" s="46">
        <f t="shared" si="2"/>
        <v>6</v>
      </c>
      <c r="AU19" s="48">
        <f t="shared" si="3"/>
        <v>90</v>
      </c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3"/>
      <c r="BU19" s="93"/>
      <c r="BV19" s="93"/>
      <c r="BW19" s="93"/>
      <c r="BX19" s="93"/>
      <c r="BY19" s="93"/>
      <c r="BZ19" s="93"/>
      <c r="CA19" s="93"/>
      <c r="CB19" s="93"/>
      <c r="CC19" s="93"/>
      <c r="CD19" s="93"/>
      <c r="CE19" s="93"/>
      <c r="CF19" s="93"/>
      <c r="CG19" s="93"/>
      <c r="CH19" s="93"/>
      <c r="CI19" s="93"/>
      <c r="CJ19" s="93"/>
      <c r="CK19" s="93"/>
      <c r="CL19" s="93"/>
      <c r="CM19" s="93"/>
      <c r="CN19" s="93"/>
      <c r="CO19" s="93"/>
      <c r="CP19" s="93"/>
      <c r="CQ19" s="93"/>
      <c r="CR19" s="93"/>
      <c r="CS19" s="93"/>
    </row>
    <row r="20" spans="1:97" ht="21" customHeight="1" x14ac:dyDescent="0.45">
      <c r="C20" s="27" t="s">
        <v>39</v>
      </c>
      <c r="D20" s="27" t="s">
        <v>17</v>
      </c>
      <c r="E20" s="25">
        <v>0</v>
      </c>
      <c r="F20" s="26">
        <v>45980</v>
      </c>
      <c r="G20" s="26">
        <v>46010</v>
      </c>
      <c r="H20" s="23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2"/>
      <c r="AS20" s="8">
        <f t="shared" si="0"/>
        <v>4</v>
      </c>
      <c r="AT20" s="46">
        <f t="shared" si="2"/>
        <v>12</v>
      </c>
      <c r="AU20" s="48">
        <f t="shared" si="3"/>
        <v>180</v>
      </c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</row>
    <row r="21" spans="1:97" ht="21" customHeight="1" x14ac:dyDescent="0.45">
      <c r="C21" s="27"/>
      <c r="D21" s="27" t="s">
        <v>21</v>
      </c>
      <c r="E21" s="25">
        <v>0</v>
      </c>
      <c r="F21" s="26">
        <v>45962</v>
      </c>
      <c r="G21" s="26">
        <v>45962</v>
      </c>
      <c r="H21" s="23"/>
      <c r="I21" s="24">
        <f t="shared" si="1"/>
        <v>0</v>
      </c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2"/>
      <c r="AS21" s="8">
        <f t="shared" si="0"/>
        <v>0</v>
      </c>
      <c r="AT21" s="46">
        <f t="shared" si="2"/>
        <v>0</v>
      </c>
      <c r="AU21" s="48">
        <f t="shared" si="3"/>
        <v>0</v>
      </c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  <c r="CI21" s="93"/>
      <c r="CJ21" s="93"/>
      <c r="CK21" s="93"/>
      <c r="CL21" s="93"/>
      <c r="CM21" s="93"/>
      <c r="CN21" s="93"/>
      <c r="CO21" s="93"/>
      <c r="CP21" s="93"/>
      <c r="CQ21" s="93"/>
      <c r="CR21" s="93"/>
      <c r="CS21" s="93"/>
    </row>
    <row r="22" spans="1:97" s="90" customFormat="1" ht="25.05" customHeight="1" x14ac:dyDescent="0.45">
      <c r="A22" s="91"/>
      <c r="B22" s="91"/>
      <c r="C22" s="83" t="s">
        <v>11</v>
      </c>
      <c r="D22" s="84" t="s">
        <v>46</v>
      </c>
      <c r="E22" s="85">
        <v>0</v>
      </c>
      <c r="F22" s="86"/>
      <c r="G22" s="86"/>
      <c r="H22" s="87"/>
      <c r="I22" s="88">
        <f t="shared" si="1"/>
        <v>0</v>
      </c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9"/>
      <c r="AR22" s="91"/>
      <c r="AS22" s="8">
        <f t="shared" si="0"/>
        <v>0</v>
      </c>
      <c r="AT22" s="92">
        <f t="shared" si="2"/>
        <v>0</v>
      </c>
      <c r="AU22" s="48">
        <f t="shared" si="3"/>
        <v>0</v>
      </c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93"/>
      <c r="CF22" s="93"/>
      <c r="CG22" s="93"/>
      <c r="CH22" s="93"/>
      <c r="CI22" s="93"/>
      <c r="CJ22" s="93"/>
      <c r="CK22" s="93"/>
      <c r="CL22" s="93"/>
      <c r="CM22" s="93"/>
      <c r="CN22" s="93"/>
      <c r="CO22" s="93"/>
      <c r="CP22" s="93"/>
      <c r="CQ22" s="93"/>
      <c r="CR22" s="93"/>
      <c r="CS22" s="93"/>
    </row>
    <row r="23" spans="1:97" ht="21" customHeight="1" x14ac:dyDescent="0.45">
      <c r="C23" s="59" t="s">
        <v>36</v>
      </c>
      <c r="D23" s="27" t="s">
        <v>15</v>
      </c>
      <c r="E23" s="25">
        <v>0</v>
      </c>
      <c r="F23" s="26">
        <v>45992</v>
      </c>
      <c r="G23" s="26">
        <v>46006</v>
      </c>
      <c r="H23" s="23"/>
      <c r="I23" s="24">
        <f t="shared" si="1"/>
        <v>0</v>
      </c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2"/>
      <c r="AS23" s="8">
        <f t="shared" si="0"/>
        <v>2</v>
      </c>
      <c r="AT23" s="46">
        <f t="shared" si="2"/>
        <v>6</v>
      </c>
      <c r="AU23" s="48">
        <f t="shared" si="3"/>
        <v>90</v>
      </c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3"/>
      <c r="BU23" s="93"/>
      <c r="BV23" s="93"/>
      <c r="BW23" s="93"/>
      <c r="BX23" s="93"/>
      <c r="BY23" s="93"/>
      <c r="BZ23" s="93"/>
      <c r="CA23" s="93"/>
      <c r="CB23" s="93"/>
      <c r="CC23" s="93"/>
      <c r="CD23" s="93"/>
      <c r="CE23" s="93"/>
      <c r="CF23" s="93"/>
      <c r="CG23" s="93"/>
      <c r="CH23" s="93"/>
      <c r="CI23" s="93"/>
      <c r="CJ23" s="93"/>
      <c r="CK23" s="93"/>
      <c r="CL23" s="93"/>
      <c r="CM23" s="93"/>
      <c r="CN23" s="93"/>
      <c r="CO23" s="93"/>
      <c r="CP23" s="93"/>
      <c r="CQ23" s="93"/>
      <c r="CR23" s="93"/>
      <c r="CS23" s="93"/>
    </row>
    <row r="24" spans="1:97" ht="21" customHeight="1" x14ac:dyDescent="0.45">
      <c r="C24" s="27" t="s">
        <v>12</v>
      </c>
      <c r="D24" s="27" t="s">
        <v>16</v>
      </c>
      <c r="E24" s="25">
        <v>0</v>
      </c>
      <c r="F24" s="26">
        <v>45962</v>
      </c>
      <c r="G24" s="26">
        <v>45962</v>
      </c>
      <c r="H24" s="23"/>
      <c r="I24" s="24">
        <f t="shared" si="1"/>
        <v>0</v>
      </c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2"/>
      <c r="AS24" s="8">
        <f t="shared" si="0"/>
        <v>0</v>
      </c>
      <c r="AT24" s="46">
        <f t="shared" si="2"/>
        <v>0</v>
      </c>
      <c r="AU24" s="48">
        <f t="shared" si="3"/>
        <v>0</v>
      </c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3"/>
      <c r="BU24" s="93"/>
      <c r="BV24" s="93"/>
      <c r="BW24" s="93"/>
      <c r="BX24" s="93"/>
      <c r="BY24" s="93"/>
      <c r="BZ24" s="93"/>
      <c r="CA24" s="93"/>
      <c r="CB24" s="93"/>
      <c r="CC24" s="93"/>
      <c r="CD24" s="93"/>
      <c r="CE24" s="93"/>
      <c r="CF24" s="93"/>
      <c r="CG24" s="93"/>
      <c r="CH24" s="93"/>
      <c r="CI24" s="93"/>
      <c r="CJ24" s="93"/>
      <c r="CK24" s="93"/>
      <c r="CL24" s="93"/>
      <c r="CM24" s="93"/>
      <c r="CN24" s="93"/>
      <c r="CO24" s="93"/>
      <c r="CP24" s="93"/>
      <c r="CQ24" s="93"/>
      <c r="CR24" s="93"/>
      <c r="CS24" s="93"/>
    </row>
    <row r="25" spans="1:97" ht="21" customHeight="1" x14ac:dyDescent="0.45">
      <c r="C25" s="27" t="s">
        <v>6</v>
      </c>
      <c r="D25" s="27" t="s">
        <v>17</v>
      </c>
      <c r="E25" s="25">
        <v>0</v>
      </c>
      <c r="F25" s="26">
        <v>45962</v>
      </c>
      <c r="G25" s="26">
        <v>45962</v>
      </c>
      <c r="H25" s="23"/>
      <c r="I25" s="24">
        <f t="shared" si="1"/>
        <v>0</v>
      </c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2"/>
      <c r="AS25" s="8">
        <f t="shared" si="0"/>
        <v>0</v>
      </c>
      <c r="AT25" s="46">
        <f t="shared" si="2"/>
        <v>0</v>
      </c>
      <c r="AU25" s="48">
        <f t="shared" si="3"/>
        <v>0</v>
      </c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3"/>
      <c r="BU25" s="93"/>
      <c r="BV25" s="93"/>
      <c r="BW25" s="93"/>
      <c r="BX25" s="93"/>
      <c r="BY25" s="93"/>
      <c r="BZ25" s="93"/>
      <c r="CA25" s="93"/>
      <c r="CB25" s="93"/>
      <c r="CC25" s="93"/>
      <c r="CD25" s="93"/>
      <c r="CE25" s="93"/>
      <c r="CF25" s="93"/>
      <c r="CG25" s="93"/>
      <c r="CH25" s="93"/>
      <c r="CI25" s="93"/>
      <c r="CJ25" s="93"/>
      <c r="CK25" s="93"/>
      <c r="CL25" s="93"/>
      <c r="CM25" s="93"/>
      <c r="CN25" s="93"/>
      <c r="CO25" s="93"/>
      <c r="CP25" s="93"/>
      <c r="CQ25" s="93"/>
      <c r="CR25" s="93"/>
      <c r="CS25" s="93"/>
    </row>
    <row r="26" spans="1:97" ht="21" customHeight="1" x14ac:dyDescent="0.45">
      <c r="C26" s="27" t="s">
        <v>7</v>
      </c>
      <c r="D26" s="27" t="s">
        <v>21</v>
      </c>
      <c r="E26" s="25">
        <v>0</v>
      </c>
      <c r="F26" s="26">
        <v>45962</v>
      </c>
      <c r="G26" s="26">
        <v>45962</v>
      </c>
      <c r="H26" s="23"/>
      <c r="I26" s="24">
        <f t="shared" si="1"/>
        <v>0</v>
      </c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2"/>
      <c r="AS26" s="8">
        <f t="shared" si="0"/>
        <v>0</v>
      </c>
      <c r="AT26" s="46">
        <f t="shared" si="2"/>
        <v>0</v>
      </c>
      <c r="AU26" s="48">
        <f t="shared" si="3"/>
        <v>0</v>
      </c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3"/>
      <c r="BU26" s="93"/>
      <c r="BV26" s="93"/>
      <c r="BW26" s="93"/>
      <c r="BX26" s="93"/>
      <c r="BY26" s="93"/>
      <c r="BZ26" s="93"/>
      <c r="CA26" s="93"/>
      <c r="CB26" s="93"/>
      <c r="CC26" s="93"/>
      <c r="CD26" s="93"/>
      <c r="CE26" s="93"/>
      <c r="CF26" s="93"/>
      <c r="CG26" s="93"/>
      <c r="CH26" s="93"/>
      <c r="CI26" s="93"/>
      <c r="CJ26" s="93"/>
      <c r="CK26" s="93"/>
      <c r="CL26" s="93"/>
      <c r="CM26" s="93"/>
      <c r="CN26" s="93"/>
      <c r="CO26" s="93"/>
      <c r="CP26" s="93"/>
      <c r="CQ26" s="93"/>
      <c r="CR26" s="93"/>
      <c r="CS26" s="93"/>
    </row>
    <row r="27" spans="1:97" x14ac:dyDescent="0.45">
      <c r="AS27" s="8"/>
      <c r="AT27" s="46"/>
      <c r="AU27" s="48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  <c r="CI27" s="93"/>
      <c r="CJ27" s="93"/>
      <c r="CK27" s="93"/>
      <c r="CL27" s="93"/>
      <c r="CM27" s="93"/>
      <c r="CN27" s="93"/>
      <c r="CO27" s="93"/>
      <c r="CP27" s="93"/>
      <c r="CQ27" s="93"/>
      <c r="CR27" s="93"/>
      <c r="CS27" s="93"/>
    </row>
    <row r="28" spans="1:97" x14ac:dyDescent="0.45">
      <c r="AS28" s="8"/>
      <c r="AT28" s="46"/>
      <c r="AU28" s="48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  <c r="CI28" s="93"/>
      <c r="CJ28" s="93"/>
      <c r="CK28" s="93"/>
      <c r="CL28" s="93"/>
      <c r="CM28" s="93"/>
      <c r="CN28" s="93"/>
      <c r="CO28" s="93"/>
      <c r="CP28" s="93"/>
      <c r="CQ28" s="93"/>
      <c r="CR28" s="93"/>
      <c r="CS28" s="93"/>
    </row>
    <row r="29" spans="1:97" x14ac:dyDescent="0.45">
      <c r="C29" s="31"/>
      <c r="D29" s="32"/>
      <c r="E29" s="32"/>
      <c r="F29" s="33"/>
      <c r="AS29" s="8"/>
      <c r="AT29" s="46"/>
      <c r="AU29" s="48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3"/>
      <c r="BU29" s="93"/>
      <c r="BV29" s="93"/>
      <c r="BW29" s="93"/>
      <c r="BX29" s="93"/>
      <c r="BY29" s="93"/>
      <c r="BZ29" s="93"/>
      <c r="CA29" s="93"/>
      <c r="CB29" s="93"/>
      <c r="CC29" s="93"/>
      <c r="CD29" s="93"/>
      <c r="CE29" s="93"/>
      <c r="CF29" s="93"/>
      <c r="CG29" s="93"/>
      <c r="CH29" s="93"/>
      <c r="CI29" s="93"/>
      <c r="CJ29" s="93"/>
      <c r="CK29" s="93"/>
      <c r="CL29" s="93"/>
      <c r="CM29" s="93"/>
      <c r="CN29" s="93"/>
      <c r="CO29" s="93"/>
      <c r="CP29" s="93"/>
      <c r="CQ29" s="93"/>
      <c r="CR29" s="93"/>
      <c r="CS29" s="93"/>
    </row>
    <row r="30" spans="1:97" ht="19.5" x14ac:dyDescent="0.6">
      <c r="C30" s="38" t="s">
        <v>20</v>
      </c>
      <c r="D30" s="56" t="s">
        <v>15</v>
      </c>
      <c r="E30" s="56"/>
      <c r="F30" s="57"/>
      <c r="AS30" s="44">
        <f>SUM(AS8:AS26)</f>
        <v>22</v>
      </c>
      <c r="AT30" s="47">
        <f>SUM(AT8:AT26)</f>
        <v>66</v>
      </c>
      <c r="AU30" s="49">
        <f>SUM(AU8:AU26)</f>
        <v>990</v>
      </c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3"/>
      <c r="BU30" s="93"/>
      <c r="BV30" s="93"/>
      <c r="BW30" s="93"/>
      <c r="BX30" s="93"/>
      <c r="BY30" s="93"/>
      <c r="BZ30" s="93"/>
      <c r="CA30" s="93"/>
      <c r="CB30" s="93"/>
      <c r="CC30" s="93"/>
      <c r="CD30" s="93"/>
      <c r="CE30" s="93"/>
      <c r="CF30" s="93"/>
      <c r="CG30" s="93"/>
      <c r="CH30" s="93"/>
      <c r="CI30" s="93"/>
      <c r="CJ30" s="93"/>
      <c r="CK30" s="93"/>
      <c r="CL30" s="93"/>
      <c r="CM30" s="93"/>
      <c r="CN30" s="93"/>
      <c r="CO30" s="93"/>
      <c r="CP30" s="93"/>
      <c r="CQ30" s="93"/>
      <c r="CR30" s="93"/>
      <c r="CS30" s="93"/>
    </row>
    <row r="31" spans="1:97" x14ac:dyDescent="0.45">
      <c r="C31" s="35"/>
      <c r="D31" s="56" t="s">
        <v>16</v>
      </c>
      <c r="E31" s="56"/>
      <c r="F31" s="57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</row>
    <row r="32" spans="1:97" x14ac:dyDescent="0.45">
      <c r="C32" s="35"/>
      <c r="D32" s="56" t="s">
        <v>17</v>
      </c>
      <c r="E32" s="56"/>
      <c r="F32" s="57"/>
      <c r="J32" s="2"/>
      <c r="K32" s="2"/>
      <c r="L32" s="2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</row>
    <row r="33" spans="3:12" x14ac:dyDescent="0.45">
      <c r="C33" s="35"/>
      <c r="D33" s="56" t="s">
        <v>21</v>
      </c>
      <c r="E33" s="56"/>
      <c r="F33" s="57"/>
      <c r="J33" s="2"/>
      <c r="K33" s="2"/>
      <c r="L33" s="2"/>
    </row>
    <row r="34" spans="3:12" x14ac:dyDescent="0.45">
      <c r="C34" s="35"/>
      <c r="D34" s="1"/>
      <c r="E34" s="1"/>
      <c r="F34" s="34"/>
      <c r="J34" s="2"/>
      <c r="K34" s="2"/>
      <c r="L34" s="2"/>
    </row>
    <row r="35" spans="3:12" x14ac:dyDescent="0.45">
      <c r="C35" s="35"/>
      <c r="D35" s="1"/>
      <c r="E35" s="1"/>
      <c r="F35" s="34"/>
      <c r="J35" s="2"/>
      <c r="K35" s="2"/>
      <c r="L35" s="2"/>
    </row>
    <row r="36" spans="3:12" x14ac:dyDescent="0.45">
      <c r="C36" s="43" t="s">
        <v>25</v>
      </c>
      <c r="D36" s="39">
        <v>3</v>
      </c>
      <c r="E36" s="30" t="s">
        <v>26</v>
      </c>
      <c r="F36" s="34"/>
      <c r="J36" s="2"/>
      <c r="K36" s="2"/>
      <c r="L36" s="2"/>
    </row>
    <row r="37" spans="3:12" x14ac:dyDescent="0.45">
      <c r="C37" s="43" t="s">
        <v>24</v>
      </c>
      <c r="D37" s="39">
        <v>15</v>
      </c>
      <c r="E37" s="30" t="s">
        <v>22</v>
      </c>
      <c r="F37" s="34"/>
      <c r="J37" s="2"/>
      <c r="K37" s="2"/>
      <c r="L37" s="2"/>
    </row>
    <row r="38" spans="3:12" x14ac:dyDescent="0.45">
      <c r="C38" s="43" t="s">
        <v>23</v>
      </c>
      <c r="D38">
        <v>25</v>
      </c>
      <c r="E38" s="30" t="s">
        <v>22</v>
      </c>
      <c r="F38" s="40"/>
    </row>
    <row r="39" spans="3:12" x14ac:dyDescent="0.45">
      <c r="C39" s="36"/>
      <c r="D39" s="21"/>
      <c r="E39" s="21"/>
      <c r="F39" s="37"/>
    </row>
  </sheetData>
  <mergeCells count="14">
    <mergeCell ref="D31:F31"/>
    <mergeCell ref="D32:F32"/>
    <mergeCell ref="D33:F33"/>
    <mergeCell ref="C3:D3"/>
    <mergeCell ref="V3:Y3"/>
    <mergeCell ref="Z3:AC3"/>
    <mergeCell ref="C2:D2"/>
    <mergeCell ref="D30:F30"/>
    <mergeCell ref="AI3:AL3"/>
    <mergeCell ref="AM3:AP3"/>
    <mergeCell ref="I3:L3"/>
    <mergeCell ref="M3:P3"/>
    <mergeCell ref="Q3:T3"/>
    <mergeCell ref="AD3:AG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9:I26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 I9:I26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Guerini Tommaso_5BINF</cp:lastModifiedBy>
  <dcterms:created xsi:type="dcterms:W3CDTF">2025-10-22T05:40:21Z</dcterms:created>
  <dcterms:modified xsi:type="dcterms:W3CDTF">2025-11-18T10:52:18Z</dcterms:modified>
</cp:coreProperties>
</file>