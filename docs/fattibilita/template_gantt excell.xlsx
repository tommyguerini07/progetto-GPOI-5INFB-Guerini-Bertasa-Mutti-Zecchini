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ma\Documents\GitHub\progetto-GPOI-5INFB-Guerini-Bertasa-Mutti-Zecchini\docs\fattibilita\"/>
    </mc:Choice>
  </mc:AlternateContent>
  <xr:revisionPtr revIDLastSave="0" documentId="8_{ED5AD5BC-A76F-491B-AAD9-5CBB1AB7EF76}" xr6:coauthVersionLast="47" xr6:coauthVersionMax="47" xr10:uidLastSave="{00000000-0000-0000-0000-000000000000}"/>
  <bookViews>
    <workbookView xWindow="-98" yWindow="-98" windowWidth="21795" windowHeight="12975" xr2:uid="{9327F8D6-4F37-4E25-8083-20A17765DC2F}"/>
  </bookViews>
  <sheets>
    <sheet name="Sheet1" sheetId="1" r:id="rId1"/>
  </sheets>
  <definedNames>
    <definedName name="task_end" localSheetId="0">Sheet1!$G1</definedName>
    <definedName name="task_progress" localSheetId="0">Sheet1!$E1</definedName>
    <definedName name="task_start" localSheetId="0">Sheet1!$F1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" i="1" l="1"/>
  <c r="I9" i="1"/>
  <c r="I10" i="1"/>
  <c r="I11" i="1"/>
  <c r="I12" i="1"/>
  <c r="I14" i="1"/>
  <c r="I15" i="1"/>
  <c r="I16" i="1"/>
  <c r="I17" i="1"/>
  <c r="I18" i="1"/>
  <c r="I19" i="1"/>
  <c r="I21" i="1"/>
  <c r="I22" i="1"/>
  <c r="I23" i="1"/>
  <c r="I24" i="1"/>
  <c r="I25" i="1"/>
  <c r="I26" i="1"/>
  <c r="AS8" i="1"/>
  <c r="AS9" i="1"/>
  <c r="AT9" i="1" s="1"/>
  <c r="AU9" i="1" s="1"/>
  <c r="AS10" i="1"/>
  <c r="AT10" i="1" s="1"/>
  <c r="AU10" i="1" s="1"/>
  <c r="AS11" i="1"/>
  <c r="AT11" i="1" s="1"/>
  <c r="AU11" i="1" s="1"/>
  <c r="AS12" i="1"/>
  <c r="AT12" i="1" s="1"/>
  <c r="AU12" i="1" s="1"/>
  <c r="AS13" i="1"/>
  <c r="AT13" i="1" s="1"/>
  <c r="AU13" i="1" s="1"/>
  <c r="AS14" i="1"/>
  <c r="AT14" i="1" s="1"/>
  <c r="AU14" i="1" s="1"/>
  <c r="AS15" i="1"/>
  <c r="AT15" i="1" s="1"/>
  <c r="AU15" i="1" s="1"/>
  <c r="AS16" i="1"/>
  <c r="AT16" i="1" s="1"/>
  <c r="AU16" i="1" s="1"/>
  <c r="AS17" i="1"/>
  <c r="AT17" i="1" s="1"/>
  <c r="AU17" i="1" s="1"/>
  <c r="AS18" i="1"/>
  <c r="AT18" i="1" s="1"/>
  <c r="AU18" i="1" s="1"/>
  <c r="AS19" i="1"/>
  <c r="AT19" i="1" s="1"/>
  <c r="AU19" i="1" s="1"/>
  <c r="AS20" i="1"/>
  <c r="AT20" i="1" s="1"/>
  <c r="AU20" i="1" s="1"/>
  <c r="AS21" i="1"/>
  <c r="AT21" i="1" s="1"/>
  <c r="AU21" i="1" s="1"/>
  <c r="AS22" i="1"/>
  <c r="AT22" i="1" s="1"/>
  <c r="AU22" i="1" s="1"/>
  <c r="AS23" i="1"/>
  <c r="AT23" i="1" s="1"/>
  <c r="AU23" i="1" s="1"/>
  <c r="AS24" i="1"/>
  <c r="AT24" i="1" s="1"/>
  <c r="AU24" i="1" s="1"/>
  <c r="AS25" i="1"/>
  <c r="AT25" i="1" s="1"/>
  <c r="AU25" i="1" s="1"/>
  <c r="AS26" i="1"/>
  <c r="AT26" i="1" s="1"/>
  <c r="AU26" i="1" s="1"/>
  <c r="AD3" i="1"/>
  <c r="M3" i="1"/>
  <c r="AQ3" i="1"/>
  <c r="AM3" i="1"/>
  <c r="AI3" i="1"/>
  <c r="Z3" i="1"/>
  <c r="V3" i="1"/>
  <c r="Q3" i="1"/>
  <c r="I3" i="1"/>
  <c r="AS30" i="1" l="1"/>
  <c r="AT8" i="1"/>
  <c r="AU8" i="1" l="1"/>
  <c r="AU30" i="1" s="1"/>
  <c r="AT30" i="1"/>
</calcChain>
</file>

<file path=xl/sharedStrings.xml><?xml version="1.0" encoding="utf-8"?>
<sst xmlns="http://schemas.openxmlformats.org/spreadsheetml/2006/main" count="56" uniqueCount="50">
  <si>
    <t>TASK</t>
  </si>
  <si>
    <t xml:space="preserve">START </t>
  </si>
  <si>
    <t>END</t>
  </si>
  <si>
    <t>Week</t>
  </si>
  <si>
    <t>Month</t>
  </si>
  <si>
    <t>Days</t>
  </si>
  <si>
    <t>Development</t>
  </si>
  <si>
    <t>Marketing</t>
  </si>
  <si>
    <t>Selling</t>
  </si>
  <si>
    <t>%</t>
  </si>
  <si>
    <t>ASSIGNED</t>
  </si>
  <si>
    <t>A</t>
  </si>
  <si>
    <t>B</t>
  </si>
  <si>
    <t>C</t>
  </si>
  <si>
    <t>Project Start: 6 October 2025</t>
  </si>
  <si>
    <t>Gantt v1.0.0</t>
  </si>
  <si>
    <t>Componenti:</t>
  </si>
  <si>
    <t>D</t>
  </si>
  <si>
    <t>€/h</t>
  </si>
  <si>
    <t>Costo Risorse Esterne:</t>
  </si>
  <si>
    <t>Costo Risorse Interne:</t>
  </si>
  <si>
    <t>Hours x Week:</t>
  </si>
  <si>
    <t>h</t>
  </si>
  <si>
    <t>Cost €</t>
  </si>
  <si>
    <t>Hours #</t>
  </si>
  <si>
    <t>Weeks #</t>
  </si>
  <si>
    <t>progetto Poli-Demoni</t>
  </si>
  <si>
    <t xml:space="preserve"> </t>
  </si>
  <si>
    <t>definizione del progetto</t>
  </si>
  <si>
    <t>lavoro e sviluppo scheletro</t>
  </si>
  <si>
    <t>domande intervista</t>
  </si>
  <si>
    <t>interviste polisportive</t>
  </si>
  <si>
    <t xml:space="preserve"> parte grafica</t>
  </si>
  <si>
    <t>ricerca contatti</t>
  </si>
  <si>
    <t xml:space="preserve">  backend</t>
  </si>
  <si>
    <t xml:space="preserve"> frontend</t>
  </si>
  <si>
    <t xml:space="preserve">Intro </t>
  </si>
  <si>
    <t>Guerini G</t>
  </si>
  <si>
    <t>Zecchini Z</t>
  </si>
  <si>
    <t>Bertasa B</t>
  </si>
  <si>
    <t>Mutti M</t>
  </si>
  <si>
    <t>M, B</t>
  </si>
  <si>
    <t>B,M,G</t>
  </si>
  <si>
    <t>G,Z</t>
  </si>
  <si>
    <t>tutti T</t>
  </si>
  <si>
    <t>T</t>
  </si>
  <si>
    <t xml:space="preserve"> ottenimento materiali </t>
  </si>
  <si>
    <t>B, M, G, Z</t>
  </si>
  <si>
    <t xml:space="preserve">  </t>
  </si>
  <si>
    <t>vendite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</si>
</sst>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mmmmm;@"/>
    <numFmt numFmtId="165" formatCode="[$-409]d\-mmm;@"/>
    <numFmt numFmtId="166" formatCode="#,##0.00\ [$€-410]"/>
  </numFmts>
  <fonts count="1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3"/>
      <color theme="1"/>
      <name val="Aptos Narrow"/>
      <family val="2"/>
      <scheme val="minor"/>
    </font>
    <font>
      <sz val="13"/>
      <color theme="0"/>
      <name val="Aptos Narrow"/>
      <family val="2"/>
      <scheme val="minor"/>
    </font>
    <font>
      <sz val="15"/>
      <color theme="1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sz val="25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FF9EB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E89078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rgb="FFFEE0D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  <xf numFmtId="0" fontId="4" fillId="0" borderId="0" xfId="0" applyFont="1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64" fontId="0" fillId="3" borderId="3" xfId="0" applyNumberForma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5" xfId="0" applyFill="1" applyBorder="1" applyAlignment="1">
      <alignment horizontal="center"/>
    </xf>
    <xf numFmtId="16" fontId="3" fillId="3" borderId="4" xfId="0" applyNumberFormat="1" applyFont="1" applyFill="1" applyBorder="1" applyAlignment="1">
      <alignment horizontal="center"/>
    </xf>
    <xf numFmtId="16" fontId="3" fillId="4" borderId="0" xfId="0" applyNumberFormat="1" applyFont="1" applyFill="1" applyAlignment="1">
      <alignment horizontal="center"/>
    </xf>
    <xf numFmtId="16" fontId="3" fillId="5" borderId="0" xfId="0" applyNumberFormat="1" applyFont="1" applyFill="1" applyAlignment="1">
      <alignment horizontal="center"/>
    </xf>
    <xf numFmtId="16" fontId="3" fillId="6" borderId="5" xfId="0" applyNumberFormat="1" applyFont="1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9" borderId="0" xfId="0" applyFill="1" applyAlignment="1">
      <alignment horizontal="center"/>
    </xf>
    <xf numFmtId="16" fontId="3" fillId="6" borderId="0" xfId="0" applyNumberFormat="1" applyFont="1" applyFill="1" applyAlignment="1">
      <alignment horizontal="center"/>
    </xf>
    <xf numFmtId="16" fontId="3" fillId="10" borderId="5" xfId="0" applyNumberFormat="1" applyFont="1" applyFill="1" applyBorder="1" applyAlignment="1">
      <alignment horizontal="center"/>
    </xf>
    <xf numFmtId="16" fontId="3" fillId="11" borderId="4" xfId="0" applyNumberFormat="1" applyFont="1" applyFill="1" applyBorder="1" applyAlignment="1">
      <alignment horizontal="center"/>
    </xf>
    <xf numFmtId="0" fontId="0" fillId="0" borderId="6" xfId="0" applyBorder="1"/>
    <xf numFmtId="0" fontId="0" fillId="13" borderId="6" xfId="0" applyFill="1" applyBorder="1" applyAlignment="1">
      <alignment horizontal="center"/>
    </xf>
    <xf numFmtId="0" fontId="0" fillId="0" borderId="7" xfId="0" applyBorder="1"/>
    <xf numFmtId="0" fontId="0" fillId="0" borderId="7" xfId="0" applyBorder="1" applyAlignment="1">
      <alignment horizontal="center"/>
    </xf>
    <xf numFmtId="9" fontId="0" fillId="0" borderId="7" xfId="0" applyNumberFormat="1" applyBorder="1" applyAlignment="1">
      <alignment horizontal="center" vertical="center"/>
    </xf>
    <xf numFmtId="165" fontId="0" fillId="0" borderId="7" xfId="0" applyNumberFormat="1" applyBorder="1" applyAlignment="1">
      <alignment horizontal="left" vertical="center"/>
    </xf>
    <xf numFmtId="0" fontId="0" fillId="0" borderId="7" xfId="0" applyBorder="1" applyAlignment="1">
      <alignment horizontal="left" vertical="center" indent="1"/>
    </xf>
    <xf numFmtId="0" fontId="6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5" xfId="0" applyBorder="1" applyAlignment="1">
      <alignment horizontal="center"/>
    </xf>
    <xf numFmtId="0" fontId="0" fillId="0" borderId="4" xfId="0" applyBorder="1"/>
    <xf numFmtId="0" fontId="0" fillId="0" borderId="12" xfId="0" applyBorder="1"/>
    <xf numFmtId="0" fontId="0" fillId="0" borderId="13" xfId="0" applyBorder="1"/>
    <xf numFmtId="0" fontId="7" fillId="0" borderId="4" xfId="0" applyFont="1" applyBorder="1" applyAlignment="1">
      <alignment horizontal="center"/>
    </xf>
    <xf numFmtId="0" fontId="0" fillId="0" borderId="0" xfId="0" applyAlignment="1">
      <alignment horizontal="right"/>
    </xf>
    <xf numFmtId="0" fontId="0" fillId="0" borderId="5" xfId="0" applyBorder="1"/>
    <xf numFmtId="0" fontId="0" fillId="3" borderId="1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3" borderId="12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8" borderId="9" xfId="0" applyFill="1" applyBorder="1" applyAlignment="1">
      <alignment horizontal="center"/>
    </xf>
    <xf numFmtId="166" fontId="0" fillId="12" borderId="11" xfId="0" applyNumberFormat="1" applyFill="1" applyBorder="1" applyAlignment="1">
      <alignment horizontal="center"/>
    </xf>
    <xf numFmtId="0" fontId="0" fillId="0" borderId="0" xfId="0" applyAlignment="1">
      <alignment horizontal="left" vertical="center" indent="1"/>
    </xf>
    <xf numFmtId="0" fontId="0" fillId="0" borderId="2" xfId="0" applyBorder="1" applyAlignment="1">
      <alignment horizontal="left" vertical="center" indent="1"/>
    </xf>
    <xf numFmtId="0" fontId="8" fillId="14" borderId="7" xfId="0" applyFont="1" applyFill="1" applyBorder="1" applyAlignment="1">
      <alignment horizontal="left" vertical="center"/>
    </xf>
    <xf numFmtId="0" fontId="0" fillId="14" borderId="7" xfId="0" applyFill="1" applyBorder="1"/>
    <xf numFmtId="9" fontId="0" fillId="14" borderId="7" xfId="0" applyNumberFormat="1" applyFill="1" applyBorder="1" applyAlignment="1">
      <alignment horizontal="center" vertical="center"/>
    </xf>
    <xf numFmtId="14" fontId="0" fillId="14" borderId="7" xfId="0" applyNumberFormat="1" applyFill="1" applyBorder="1" applyAlignment="1">
      <alignment horizontal="left" vertical="center"/>
    </xf>
    <xf numFmtId="0" fontId="0" fillId="14" borderId="7" xfId="0" applyFill="1" applyBorder="1" applyAlignment="1">
      <alignment horizontal="center"/>
    </xf>
    <xf numFmtId="0" fontId="0" fillId="14" borderId="6" xfId="0" applyFill="1" applyBorder="1" applyAlignment="1">
      <alignment horizontal="center"/>
    </xf>
    <xf numFmtId="0" fontId="0" fillId="14" borderId="0" xfId="0" applyFill="1"/>
    <xf numFmtId="0" fontId="8" fillId="15" borderId="7" xfId="0" applyFont="1" applyFill="1" applyBorder="1" applyAlignment="1">
      <alignment horizontal="left" vertical="center"/>
    </xf>
    <xf numFmtId="0" fontId="0" fillId="15" borderId="0" xfId="0" applyFill="1"/>
    <xf numFmtId="9" fontId="0" fillId="15" borderId="7" xfId="0" applyNumberFormat="1" applyFill="1" applyBorder="1" applyAlignment="1">
      <alignment horizontal="center" vertical="center"/>
    </xf>
    <xf numFmtId="14" fontId="0" fillId="15" borderId="7" xfId="0" applyNumberFormat="1" applyFill="1" applyBorder="1" applyAlignment="1">
      <alignment horizontal="left" vertical="center"/>
    </xf>
    <xf numFmtId="0" fontId="0" fillId="15" borderId="7" xfId="0" applyFill="1" applyBorder="1"/>
    <xf numFmtId="0" fontId="0" fillId="15" borderId="7" xfId="0" applyFill="1" applyBorder="1" applyAlignment="1">
      <alignment horizontal="center"/>
    </xf>
    <xf numFmtId="0" fontId="0" fillId="15" borderId="6" xfId="0" applyFill="1" applyBorder="1" applyAlignment="1">
      <alignment horizontal="center"/>
    </xf>
    <xf numFmtId="0" fontId="8" fillId="16" borderId="6" xfId="0" applyFont="1" applyFill="1" applyBorder="1" applyAlignment="1">
      <alignment horizontal="left" vertical="center"/>
    </xf>
    <xf numFmtId="0" fontId="5" fillId="16" borderId="6" xfId="0" applyFont="1" applyFill="1" applyBorder="1" applyAlignment="1">
      <alignment horizontal="left" vertical="center"/>
    </xf>
    <xf numFmtId="0" fontId="0" fillId="16" borderId="6" xfId="0" applyFill="1" applyBorder="1" applyAlignment="1">
      <alignment horizontal="left" vertical="center"/>
    </xf>
    <xf numFmtId="0" fontId="0" fillId="16" borderId="6" xfId="0" applyFill="1" applyBorder="1"/>
    <xf numFmtId="0" fontId="0" fillId="16" borderId="6" xfId="0" applyFill="1" applyBorder="1" applyAlignment="1">
      <alignment horizontal="center"/>
    </xf>
    <xf numFmtId="0" fontId="0" fillId="16" borderId="0" xfId="0" applyFill="1"/>
    <xf numFmtId="0" fontId="10" fillId="15" borderId="0" xfId="0" applyFont="1" applyFill="1"/>
    <xf numFmtId="0" fontId="11" fillId="14" borderId="7" xfId="0" applyFont="1" applyFill="1" applyBorder="1"/>
    <xf numFmtId="0" fontId="8" fillId="17" borderId="7" xfId="0" applyFont="1" applyFill="1" applyBorder="1" applyAlignment="1">
      <alignment horizontal="left" vertical="center"/>
    </xf>
    <xf numFmtId="0" fontId="11" fillId="17" borderId="7" xfId="0" applyFont="1" applyFill="1" applyBorder="1" applyAlignment="1">
      <alignment horizontal="left" vertical="center" indent="1"/>
    </xf>
    <xf numFmtId="9" fontId="0" fillId="17" borderId="7" xfId="0" applyNumberFormat="1" applyFill="1" applyBorder="1" applyAlignment="1">
      <alignment horizontal="center" vertical="center"/>
    </xf>
    <xf numFmtId="0" fontId="0" fillId="17" borderId="7" xfId="0" applyFill="1" applyBorder="1" applyAlignment="1">
      <alignment horizontal="left" vertical="center"/>
    </xf>
    <xf numFmtId="0" fontId="0" fillId="17" borderId="7" xfId="0" applyFill="1" applyBorder="1"/>
    <xf numFmtId="0" fontId="0" fillId="17" borderId="7" xfId="0" applyFill="1" applyBorder="1" applyAlignment="1">
      <alignment horizontal="center"/>
    </xf>
    <xf numFmtId="0" fontId="0" fillId="17" borderId="6" xfId="0" applyFill="1" applyBorder="1" applyAlignment="1">
      <alignment horizontal="center"/>
    </xf>
    <xf numFmtId="0" fontId="0" fillId="17" borderId="0" xfId="0" applyFill="1"/>
    <xf numFmtId="0" fontId="0" fillId="18" borderId="0" xfId="0" applyFill="1"/>
    <xf numFmtId="0" fontId="0" fillId="19" borderId="9" xfId="0" applyFill="1" applyBorder="1" applyAlignment="1">
      <alignment horizontal="center"/>
    </xf>
    <xf numFmtId="0" fontId="0" fillId="3" borderId="0" xfId="0" applyFill="1"/>
    <xf numFmtId="164" fontId="0" fillId="3" borderId="1" xfId="0" applyNumberFormat="1" applyFill="1" applyBorder="1" applyAlignment="1">
      <alignment horizontal="center"/>
    </xf>
    <xf numFmtId="164" fontId="0" fillId="3" borderId="2" xfId="0" applyNumberFormat="1" applyFill="1" applyBorder="1" applyAlignment="1">
      <alignment horizontal="center"/>
    </xf>
    <xf numFmtId="164" fontId="0" fillId="3" borderId="3" xfId="0" applyNumberFormat="1" applyFill="1" applyBorder="1" applyAlignment="1">
      <alignment horizontal="center"/>
    </xf>
    <xf numFmtId="0" fontId="9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left"/>
    </xf>
  </cellXfs>
  <cellStyles count="1">
    <cellStyle name="Normale" xfId="0" builtinId="0"/>
  </cellStyles>
  <dxfs count="3">
    <dxf>
      <fill>
        <patternFill>
          <bgColor rgb="FF9999FF"/>
        </patternFill>
      </fill>
    </dxf>
    <dxf>
      <numFmt numFmtId="165" formatCode="[$-409]d\-mmm;@"/>
      <fill>
        <patternFill patternType="none">
          <fgColor indexed="64"/>
          <bgColor auto="1"/>
        </patternFill>
      </fill>
      <border>
        <left style="thin">
          <color theme="8" tint="0.39994506668294322"/>
        </left>
        <right style="thin">
          <color theme="8" tint="0.39994506668294322"/>
        </right>
        <top/>
        <bottom/>
        <vertical/>
        <horizontal/>
      </border>
    </dxf>
    <dxf>
      <fill>
        <patternFill>
          <bgColor rgb="FF6666FF"/>
        </patternFill>
      </fill>
    </dxf>
  </dxfs>
  <tableStyles count="0" defaultTableStyle="TableStyleMedium2" defaultPivotStyle="PivotStyleLight16"/>
  <colors>
    <mruColors>
      <color rgb="FF9999FF"/>
      <color rgb="FFFEE0DE"/>
      <color rgb="FF6666FF"/>
      <color rgb="FFE89078"/>
      <color rgb="FFEFF9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757F6-93EC-4607-8435-BB8805CD3E41}">
  <dimension ref="A2:CS39"/>
  <sheetViews>
    <sheetView showGridLines="0" tabSelected="1" topLeftCell="A5" zoomScale="47" zoomScaleNormal="58" workbookViewId="0">
      <selection activeCell="AD45" sqref="AD45"/>
    </sheetView>
  </sheetViews>
  <sheetFormatPr defaultRowHeight="14.25" x14ac:dyDescent="0.45"/>
  <cols>
    <col min="1" max="1" width="2.33203125" style="82" customWidth="1"/>
    <col min="2" max="2" width="6.1328125" style="82" customWidth="1"/>
    <col min="3" max="3" width="23" customWidth="1"/>
    <col min="4" max="4" width="16.6640625" customWidth="1"/>
    <col min="5" max="5" width="9.46484375" customWidth="1"/>
    <col min="6" max="6" width="10.46484375" customWidth="1"/>
    <col min="7" max="7" width="10.6640625" customWidth="1"/>
    <col min="9" max="9" width="5.53125" style="1" customWidth="1"/>
    <col min="10" max="43" width="6.796875" style="1" customWidth="1"/>
    <col min="45" max="49" width="13.796875" customWidth="1"/>
  </cols>
  <sheetData>
    <row r="2" spans="1:97" ht="27" customHeight="1" x14ac:dyDescent="0.45">
      <c r="C2" s="88" t="s">
        <v>26</v>
      </c>
      <c r="D2" s="88"/>
      <c r="E2" s="3"/>
    </row>
    <row r="3" spans="1:97" x14ac:dyDescent="0.45">
      <c r="C3" s="91" t="s">
        <v>14</v>
      </c>
      <c r="D3" s="91"/>
      <c r="H3" s="15" t="s">
        <v>4</v>
      </c>
      <c r="I3" s="85" t="str">
        <f>TEXT(I5,"MMM")</f>
        <v>Oct</v>
      </c>
      <c r="J3" s="86"/>
      <c r="K3" s="86"/>
      <c r="L3" s="87"/>
      <c r="M3" s="85" t="str">
        <f>TEXT(M5,"MMM")</f>
        <v>Nov</v>
      </c>
      <c r="N3" s="86"/>
      <c r="O3" s="86"/>
      <c r="P3" s="87"/>
      <c r="Q3" s="85" t="str">
        <f>TEXT(Q5,"MMM")</f>
        <v>Dec</v>
      </c>
      <c r="R3" s="86"/>
      <c r="S3" s="86"/>
      <c r="T3" s="86"/>
      <c r="U3" s="7"/>
      <c r="V3" s="85" t="str">
        <f>TEXT(V5,"MMM")</f>
        <v>Jan</v>
      </c>
      <c r="W3" s="86"/>
      <c r="X3" s="86"/>
      <c r="Y3" s="87"/>
      <c r="Z3" s="85" t="str">
        <f>TEXT(Z5,"MMM")</f>
        <v>Feb</v>
      </c>
      <c r="AA3" s="86"/>
      <c r="AB3" s="86"/>
      <c r="AC3" s="87"/>
      <c r="AD3" s="85" t="str">
        <f>TEXT(AD5,"MMM")</f>
        <v>Mar</v>
      </c>
      <c r="AE3" s="86"/>
      <c r="AF3" s="86"/>
      <c r="AG3" s="86"/>
      <c r="AH3" s="7"/>
      <c r="AI3" s="85" t="str">
        <f>TEXT(AI5,"MMM")</f>
        <v>Apr</v>
      </c>
      <c r="AJ3" s="86"/>
      <c r="AK3" s="86"/>
      <c r="AL3" s="87"/>
      <c r="AM3" s="85" t="str">
        <f>TEXT(AM5,"MMM")</f>
        <v>May</v>
      </c>
      <c r="AN3" s="86"/>
      <c r="AO3" s="86"/>
      <c r="AP3" s="87"/>
      <c r="AQ3" s="6" t="str">
        <f>TEXT(AQ5,"MMM")</f>
        <v>Jun</v>
      </c>
    </row>
    <row r="4" spans="1:97" x14ac:dyDescent="0.45">
      <c r="C4" t="s">
        <v>15</v>
      </c>
      <c r="H4" s="16" t="s">
        <v>3</v>
      </c>
      <c r="I4" s="8">
        <v>1</v>
      </c>
      <c r="J4" s="9">
        <v>2</v>
      </c>
      <c r="K4" s="9">
        <v>3</v>
      </c>
      <c r="L4" s="10">
        <v>4</v>
      </c>
      <c r="M4" s="8">
        <v>5</v>
      </c>
      <c r="N4" s="9">
        <v>6</v>
      </c>
      <c r="O4" s="9">
        <v>7</v>
      </c>
      <c r="P4" s="10">
        <v>8</v>
      </c>
      <c r="Q4" s="8">
        <v>9</v>
      </c>
      <c r="R4" s="9">
        <v>10</v>
      </c>
      <c r="S4" s="9">
        <v>11</v>
      </c>
      <c r="T4" s="9">
        <v>12</v>
      </c>
      <c r="U4" s="10">
        <v>13</v>
      </c>
      <c r="V4" s="8">
        <v>14</v>
      </c>
      <c r="W4" s="9">
        <v>15</v>
      </c>
      <c r="X4" s="9">
        <v>16</v>
      </c>
      <c r="Y4" s="10">
        <v>17</v>
      </c>
      <c r="Z4" s="8">
        <v>18</v>
      </c>
      <c r="AA4" s="9">
        <v>19</v>
      </c>
      <c r="AB4" s="9">
        <v>20</v>
      </c>
      <c r="AC4" s="10">
        <v>21</v>
      </c>
      <c r="AD4" s="8">
        <v>22</v>
      </c>
      <c r="AE4" s="9">
        <v>23</v>
      </c>
      <c r="AF4" s="9">
        <v>24</v>
      </c>
      <c r="AG4" s="9">
        <v>25</v>
      </c>
      <c r="AH4" s="10">
        <v>26</v>
      </c>
      <c r="AI4" s="8">
        <v>27</v>
      </c>
      <c r="AJ4" s="9">
        <v>28</v>
      </c>
      <c r="AK4" s="9">
        <v>29</v>
      </c>
      <c r="AL4" s="10">
        <v>30</v>
      </c>
      <c r="AM4" s="8">
        <v>31</v>
      </c>
      <c r="AN4" s="9">
        <v>32</v>
      </c>
      <c r="AO4" s="9">
        <v>33</v>
      </c>
      <c r="AP4" s="10">
        <v>34</v>
      </c>
      <c r="AQ4" s="8">
        <v>35</v>
      </c>
    </row>
    <row r="5" spans="1:97" x14ac:dyDescent="0.45">
      <c r="H5" s="17" t="s">
        <v>5</v>
      </c>
      <c r="I5" s="11">
        <v>45936</v>
      </c>
      <c r="J5" s="12">
        <v>45943</v>
      </c>
      <c r="K5" s="13">
        <v>45950</v>
      </c>
      <c r="L5" s="14">
        <v>45957</v>
      </c>
      <c r="M5" s="11">
        <v>45964</v>
      </c>
      <c r="N5" s="12">
        <v>45971</v>
      </c>
      <c r="O5" s="13">
        <v>45978</v>
      </c>
      <c r="P5" s="14">
        <v>45985</v>
      </c>
      <c r="Q5" s="11">
        <v>45992</v>
      </c>
      <c r="R5" s="12">
        <v>45999</v>
      </c>
      <c r="S5" s="13">
        <v>46006</v>
      </c>
      <c r="T5" s="18">
        <v>46013</v>
      </c>
      <c r="U5" s="19">
        <v>46020</v>
      </c>
      <c r="V5" s="11">
        <v>46027</v>
      </c>
      <c r="W5" s="12">
        <v>46034</v>
      </c>
      <c r="X5" s="13">
        <v>46041</v>
      </c>
      <c r="Y5" s="14">
        <v>46048</v>
      </c>
      <c r="Z5" s="11">
        <v>46055</v>
      </c>
      <c r="AA5" s="12">
        <v>46062</v>
      </c>
      <c r="AB5" s="13">
        <v>46069</v>
      </c>
      <c r="AC5" s="14">
        <v>46076</v>
      </c>
      <c r="AD5" s="11">
        <v>46083</v>
      </c>
      <c r="AE5" s="12">
        <v>46090</v>
      </c>
      <c r="AF5" s="13">
        <v>46097</v>
      </c>
      <c r="AG5" s="18">
        <v>46104</v>
      </c>
      <c r="AH5" s="19">
        <v>46111</v>
      </c>
      <c r="AI5" s="11">
        <v>46118</v>
      </c>
      <c r="AJ5" s="12">
        <v>46125</v>
      </c>
      <c r="AK5" s="13">
        <v>46132</v>
      </c>
      <c r="AL5" s="14">
        <v>46139</v>
      </c>
      <c r="AM5" s="11">
        <v>46146</v>
      </c>
      <c r="AN5" s="12">
        <v>46153</v>
      </c>
      <c r="AO5" s="13">
        <v>46160</v>
      </c>
      <c r="AP5" s="14">
        <v>46167</v>
      </c>
      <c r="AQ5" s="20">
        <v>46174</v>
      </c>
      <c r="AS5" s="41" t="s">
        <v>25</v>
      </c>
      <c r="AT5" s="45" t="s">
        <v>24</v>
      </c>
      <c r="AU5" s="42" t="s">
        <v>23</v>
      </c>
      <c r="AV5" s="82"/>
      <c r="AW5" s="82"/>
      <c r="AX5" s="82"/>
      <c r="AY5" s="82"/>
      <c r="AZ5" s="82"/>
      <c r="BA5" s="82"/>
      <c r="BB5" s="82"/>
      <c r="BC5" s="82"/>
      <c r="BD5" s="82"/>
      <c r="BE5" s="82"/>
      <c r="BF5" s="82"/>
      <c r="BG5" s="82"/>
      <c r="BH5" s="82"/>
      <c r="BI5" s="82"/>
      <c r="BJ5" s="82"/>
      <c r="BK5" s="82"/>
      <c r="BL5" s="82"/>
      <c r="BM5" s="82"/>
      <c r="BN5" s="82"/>
      <c r="BO5" s="82"/>
      <c r="BP5" s="82"/>
      <c r="BQ5" s="82"/>
      <c r="BR5" s="82"/>
      <c r="BS5" s="82"/>
      <c r="BT5" s="84"/>
      <c r="BU5" s="84"/>
      <c r="BV5" s="84"/>
      <c r="BW5" s="84"/>
      <c r="BX5" s="84"/>
      <c r="BY5" s="84"/>
      <c r="BZ5" s="84"/>
      <c r="CA5" s="84"/>
      <c r="CB5" s="84"/>
      <c r="CC5" s="84"/>
      <c r="CD5" s="84"/>
      <c r="CE5" s="84"/>
      <c r="CF5" s="84"/>
      <c r="CG5" s="84"/>
      <c r="CH5" s="84"/>
      <c r="CI5" s="84"/>
      <c r="CJ5" s="84"/>
      <c r="CK5" s="84"/>
      <c r="CL5" s="84"/>
      <c r="CM5" s="84"/>
      <c r="CN5" s="84"/>
      <c r="CO5" s="84"/>
      <c r="CP5" s="84"/>
      <c r="CQ5" s="84"/>
      <c r="CR5" s="84"/>
      <c r="CS5" s="84"/>
    </row>
    <row r="6" spans="1:97" ht="21" customHeight="1" x14ac:dyDescent="0.45">
      <c r="C6" s="28" t="s">
        <v>0</v>
      </c>
      <c r="D6" s="28" t="s">
        <v>10</v>
      </c>
      <c r="E6" s="28" t="s">
        <v>9</v>
      </c>
      <c r="F6" s="29" t="s">
        <v>1</v>
      </c>
      <c r="G6" s="29" t="s">
        <v>2</v>
      </c>
      <c r="H6" s="4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S6" s="8"/>
      <c r="AT6" s="46"/>
      <c r="AU6" s="48"/>
      <c r="AV6" s="82"/>
      <c r="AW6" s="82"/>
      <c r="AX6" s="82"/>
      <c r="AY6" s="82"/>
      <c r="AZ6" s="82"/>
      <c r="BA6" s="82"/>
      <c r="BB6" s="82"/>
      <c r="BC6" s="82"/>
      <c r="BD6" s="82"/>
      <c r="BE6" s="82"/>
      <c r="BF6" s="82"/>
      <c r="BG6" s="82"/>
      <c r="BH6" s="82"/>
      <c r="BI6" s="82"/>
      <c r="BJ6" s="82"/>
      <c r="BK6" s="82"/>
      <c r="BL6" s="82"/>
      <c r="BM6" s="82"/>
      <c r="BN6" s="82"/>
      <c r="BO6" s="82"/>
      <c r="BP6" s="82"/>
      <c r="BQ6" s="82"/>
      <c r="BR6" s="82"/>
      <c r="BS6" s="82"/>
      <c r="BT6" s="84"/>
      <c r="BU6" s="84"/>
      <c r="BV6" s="84"/>
      <c r="BW6" s="84"/>
      <c r="BX6" s="84"/>
      <c r="BY6" s="84"/>
      <c r="BZ6" s="84"/>
      <c r="CA6" s="84"/>
      <c r="CB6" s="84"/>
      <c r="CC6" s="84"/>
      <c r="CD6" s="84"/>
      <c r="CE6" s="84"/>
      <c r="CF6" s="84"/>
      <c r="CG6" s="84"/>
      <c r="CH6" s="84"/>
      <c r="CI6" s="84"/>
      <c r="CJ6" s="84"/>
      <c r="CK6" s="84"/>
      <c r="CL6" s="84"/>
      <c r="CM6" s="84"/>
      <c r="CN6" s="84"/>
      <c r="CO6" s="84"/>
      <c r="CP6" s="84"/>
      <c r="CQ6" s="84"/>
      <c r="CR6" s="84"/>
      <c r="CS6" s="84"/>
    </row>
    <row r="7" spans="1:97" s="71" customFormat="1" ht="25.05" customHeight="1" x14ac:dyDescent="0.45">
      <c r="A7" s="82"/>
      <c r="B7" s="82"/>
      <c r="C7" s="66" t="s">
        <v>36</v>
      </c>
      <c r="D7" s="66"/>
      <c r="E7" s="67"/>
      <c r="F7" s="68"/>
      <c r="G7" s="68"/>
      <c r="H7" s="69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0"/>
      <c r="AC7" s="70"/>
      <c r="AD7" s="70"/>
      <c r="AE7" s="70"/>
      <c r="AF7" s="70"/>
      <c r="AG7" s="70"/>
      <c r="AH7" s="70"/>
      <c r="AI7" s="70"/>
      <c r="AJ7" s="70"/>
      <c r="AK7" s="70"/>
      <c r="AL7" s="70"/>
      <c r="AM7" s="70"/>
      <c r="AN7" s="70"/>
      <c r="AO7" s="70"/>
      <c r="AP7" s="70"/>
      <c r="AQ7" s="70"/>
      <c r="AR7" s="82"/>
      <c r="AS7" s="8"/>
      <c r="AT7" s="83"/>
      <c r="AU7" s="48"/>
      <c r="AV7" s="82"/>
      <c r="AW7" s="82"/>
      <c r="AX7" s="82"/>
      <c r="AY7" s="82"/>
      <c r="AZ7" s="82"/>
      <c r="BA7" s="82"/>
      <c r="BB7" s="82"/>
      <c r="BC7" s="82"/>
      <c r="BD7" s="82"/>
      <c r="BE7" s="82"/>
      <c r="BF7" s="82"/>
      <c r="BG7" s="82"/>
      <c r="BH7" s="82"/>
      <c r="BI7" s="82"/>
      <c r="BJ7" s="82"/>
      <c r="BK7" s="82"/>
      <c r="BL7" s="82"/>
      <c r="BM7" s="82"/>
      <c r="BN7" s="82"/>
      <c r="BO7" s="82"/>
      <c r="BP7" s="82"/>
      <c r="BQ7" s="82"/>
      <c r="BR7" s="82"/>
      <c r="BS7" s="82"/>
      <c r="BT7" s="84"/>
      <c r="BU7" s="84"/>
      <c r="BV7" s="84"/>
      <c r="BW7" s="84"/>
      <c r="BX7" s="84"/>
      <c r="BY7" s="84"/>
      <c r="BZ7" s="84"/>
      <c r="CA7" s="84"/>
      <c r="CB7" s="84"/>
      <c r="CC7" s="84"/>
      <c r="CD7" s="84"/>
      <c r="CE7" s="84"/>
      <c r="CF7" s="84"/>
      <c r="CG7" s="84"/>
      <c r="CH7" s="84"/>
      <c r="CI7" s="84"/>
      <c r="CJ7" s="84"/>
      <c r="CK7" s="84"/>
      <c r="CL7" s="84"/>
      <c r="CM7" s="84"/>
      <c r="CN7" s="84"/>
      <c r="CO7" s="84"/>
      <c r="CP7" s="84"/>
      <c r="CQ7" s="84"/>
      <c r="CR7" s="84"/>
      <c r="CS7" s="84"/>
    </row>
    <row r="8" spans="1:97" ht="21" customHeight="1" x14ac:dyDescent="0.45">
      <c r="C8" s="27" t="s">
        <v>28</v>
      </c>
      <c r="D8" s="27" t="s">
        <v>45</v>
      </c>
      <c r="E8" s="25">
        <v>1</v>
      </c>
      <c r="F8" s="26">
        <v>45936</v>
      </c>
      <c r="G8" s="26">
        <v>45937</v>
      </c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2"/>
      <c r="AS8" s="8">
        <f t="shared" ref="AS8:AS26" si="0">INT((G8-F8)/7)</f>
        <v>0</v>
      </c>
      <c r="AT8" s="46">
        <f>AS8*$D$36</f>
        <v>0</v>
      </c>
      <c r="AU8" s="48">
        <f>AT8*$D$37</f>
        <v>0</v>
      </c>
      <c r="AV8" s="82"/>
      <c r="AW8" s="82"/>
      <c r="AX8" s="82"/>
      <c r="AY8" s="82"/>
      <c r="AZ8" s="82"/>
      <c r="BA8" s="82"/>
      <c r="BB8" s="82"/>
      <c r="BC8" s="82"/>
      <c r="BD8" s="82"/>
      <c r="BE8" s="82"/>
      <c r="BF8" s="82"/>
      <c r="BG8" s="82"/>
      <c r="BH8" s="82"/>
      <c r="BI8" s="82"/>
      <c r="BJ8" s="82"/>
      <c r="BK8" s="82"/>
      <c r="BL8" s="82"/>
      <c r="BM8" s="82"/>
      <c r="BN8" s="82"/>
      <c r="BO8" s="82"/>
      <c r="BP8" s="82"/>
      <c r="BQ8" s="82"/>
      <c r="BR8" s="82"/>
      <c r="BS8" s="82"/>
      <c r="BT8" s="84"/>
      <c r="BU8" s="84"/>
      <c r="BV8" s="84"/>
      <c r="BW8" s="84"/>
      <c r="BX8" s="84"/>
      <c r="BY8" s="84"/>
      <c r="BZ8" s="84"/>
      <c r="CA8" s="84"/>
      <c r="CB8" s="84"/>
      <c r="CC8" s="84"/>
      <c r="CD8" s="84"/>
      <c r="CE8" s="84"/>
      <c r="CF8" s="84"/>
      <c r="CG8" s="84"/>
      <c r="CH8" s="84"/>
      <c r="CI8" s="84"/>
      <c r="CJ8" s="84"/>
      <c r="CK8" s="84"/>
      <c r="CL8" s="84"/>
      <c r="CM8" s="84"/>
      <c r="CN8" s="84"/>
      <c r="CO8" s="84"/>
      <c r="CP8" s="84"/>
      <c r="CQ8" s="84"/>
      <c r="CR8" s="84"/>
      <c r="CS8" s="84"/>
    </row>
    <row r="9" spans="1:97" ht="21" customHeight="1" x14ac:dyDescent="0.45">
      <c r="C9" s="27" t="s">
        <v>29</v>
      </c>
      <c r="D9" s="27" t="s">
        <v>45</v>
      </c>
      <c r="E9" s="25">
        <v>1</v>
      </c>
      <c r="F9" s="26">
        <v>45940</v>
      </c>
      <c r="G9" s="26">
        <v>45945</v>
      </c>
      <c r="H9" s="23"/>
      <c r="I9" s="24">
        <f t="shared" ref="I9:I26" si="1">1*AND(I$5&gt;=task_start,I$5&lt;=task_start+(task_progress*(task_end-task_start+1))-1)</f>
        <v>0</v>
      </c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2"/>
      <c r="AS9" s="8">
        <f t="shared" si="0"/>
        <v>0</v>
      </c>
      <c r="AT9" s="46">
        <f t="shared" ref="AT9:AT26" si="2">AS9*$D$36</f>
        <v>0</v>
      </c>
      <c r="AU9" s="48">
        <f t="shared" ref="AU9:AU26" si="3">AT9*$D$37</f>
        <v>0</v>
      </c>
      <c r="AV9" s="82"/>
      <c r="AW9" s="82"/>
      <c r="AX9" s="82"/>
      <c r="AY9" s="82"/>
      <c r="AZ9" s="82"/>
      <c r="BA9" s="82"/>
      <c r="BB9" s="82"/>
      <c r="BC9" s="82"/>
      <c r="BD9" s="82"/>
      <c r="BE9" s="82"/>
      <c r="BF9" s="82"/>
      <c r="BG9" s="82"/>
      <c r="BH9" s="82"/>
      <c r="BI9" s="82"/>
      <c r="BJ9" s="82"/>
      <c r="BK9" s="82"/>
      <c r="BL9" s="82"/>
      <c r="BM9" s="82"/>
      <c r="BN9" s="82"/>
      <c r="BO9" s="82"/>
      <c r="BP9" s="82"/>
      <c r="BQ9" s="82"/>
      <c r="BR9" s="82"/>
      <c r="BS9" s="82"/>
      <c r="BT9" s="84"/>
      <c r="BU9" s="84"/>
      <c r="BV9" s="84"/>
      <c r="BW9" s="84"/>
      <c r="BX9" s="84"/>
      <c r="BY9" s="84"/>
      <c r="BZ9" s="84"/>
      <c r="CA9" s="84"/>
      <c r="CB9" s="84"/>
      <c r="CC9" s="84"/>
      <c r="CD9" s="84"/>
      <c r="CE9" s="84"/>
      <c r="CF9" s="84"/>
      <c r="CG9" s="84"/>
      <c r="CH9" s="84"/>
      <c r="CI9" s="84"/>
      <c r="CJ9" s="84"/>
      <c r="CK9" s="84"/>
      <c r="CL9" s="84"/>
      <c r="CM9" s="84"/>
      <c r="CN9" s="84"/>
      <c r="CO9" s="84"/>
      <c r="CP9" s="84"/>
      <c r="CQ9" s="84"/>
      <c r="CR9" s="84"/>
      <c r="CS9" s="84"/>
    </row>
    <row r="10" spans="1:97" ht="21" customHeight="1" x14ac:dyDescent="0.45">
      <c r="C10" s="27"/>
      <c r="D10" s="27"/>
      <c r="E10" s="25">
        <v>0</v>
      </c>
      <c r="F10" s="26">
        <v>45945</v>
      </c>
      <c r="G10" s="26">
        <v>45945</v>
      </c>
      <c r="H10" s="23"/>
      <c r="I10" s="24">
        <f t="shared" si="1"/>
        <v>0</v>
      </c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2"/>
      <c r="AS10" s="8">
        <f t="shared" si="0"/>
        <v>0</v>
      </c>
      <c r="AT10" s="46">
        <f t="shared" si="2"/>
        <v>0</v>
      </c>
      <c r="AU10" s="48">
        <f t="shared" si="3"/>
        <v>0</v>
      </c>
      <c r="AV10" s="82"/>
      <c r="AW10" s="82"/>
      <c r="AX10" s="82"/>
      <c r="AY10" s="82"/>
      <c r="AZ10" s="82"/>
      <c r="BA10" s="82"/>
      <c r="BB10" s="82"/>
      <c r="BC10" s="82"/>
      <c r="BD10" s="82"/>
      <c r="BE10" s="82"/>
      <c r="BF10" s="82"/>
      <c r="BG10" s="82"/>
      <c r="BH10" s="82"/>
      <c r="BI10" s="82"/>
      <c r="BJ10" s="82"/>
      <c r="BK10" s="82"/>
      <c r="BL10" s="82"/>
      <c r="BM10" s="82"/>
      <c r="BN10" s="82"/>
      <c r="BO10" s="82"/>
      <c r="BP10" s="82"/>
      <c r="BQ10" s="82"/>
      <c r="BR10" s="82"/>
      <c r="BS10" s="82"/>
      <c r="BT10" s="84"/>
      <c r="BU10" s="84"/>
      <c r="BV10" s="84"/>
      <c r="BW10" s="84"/>
      <c r="BX10" s="84"/>
      <c r="BY10" s="84"/>
      <c r="BZ10" s="84"/>
      <c r="CA10" s="84"/>
      <c r="CB10" s="84"/>
      <c r="CC10" s="84"/>
      <c r="CD10" s="84"/>
      <c r="CE10" s="84"/>
      <c r="CF10" s="84"/>
      <c r="CG10" s="84"/>
      <c r="CH10" s="84"/>
      <c r="CI10" s="84"/>
      <c r="CJ10" s="84"/>
      <c r="CK10" s="84"/>
      <c r="CL10" s="84"/>
      <c r="CM10" s="84"/>
      <c r="CN10" s="84"/>
      <c r="CO10" s="84"/>
      <c r="CP10" s="84"/>
      <c r="CQ10" s="84"/>
      <c r="CR10" s="84"/>
      <c r="CS10" s="84"/>
    </row>
    <row r="11" spans="1:97" ht="21" customHeight="1" x14ac:dyDescent="0.45">
      <c r="C11" s="27"/>
      <c r="D11" s="27"/>
      <c r="E11" s="25">
        <v>0</v>
      </c>
      <c r="F11" s="26"/>
      <c r="G11" s="26"/>
      <c r="H11" s="23"/>
      <c r="I11" s="24">
        <f t="shared" si="1"/>
        <v>0</v>
      </c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2"/>
      <c r="AS11" s="8">
        <f t="shared" si="0"/>
        <v>0</v>
      </c>
      <c r="AT11" s="46">
        <f t="shared" si="2"/>
        <v>0</v>
      </c>
      <c r="AU11" s="48">
        <f t="shared" si="3"/>
        <v>0</v>
      </c>
      <c r="AV11" s="82"/>
      <c r="AW11" s="82"/>
      <c r="AX11" s="82"/>
      <c r="AY11" s="82"/>
      <c r="AZ11" s="82"/>
      <c r="BA11" s="82"/>
      <c r="BB11" s="82"/>
      <c r="BC11" s="82"/>
      <c r="BD11" s="82"/>
      <c r="BE11" s="82"/>
      <c r="BF11" s="82"/>
      <c r="BG11" s="82"/>
      <c r="BH11" s="82"/>
      <c r="BI11" s="82"/>
      <c r="BJ11" s="82"/>
      <c r="BK11" s="82"/>
      <c r="BL11" s="82"/>
      <c r="BM11" s="82"/>
      <c r="BN11" s="82"/>
      <c r="BO11" s="82"/>
      <c r="BP11" s="82"/>
      <c r="BQ11" s="82"/>
      <c r="BR11" s="82"/>
      <c r="BS11" s="82"/>
      <c r="BT11" s="84"/>
      <c r="BU11" s="84"/>
      <c r="BV11" s="84"/>
      <c r="BW11" s="84"/>
      <c r="BX11" s="84"/>
      <c r="BY11" s="84"/>
      <c r="BZ11" s="84"/>
      <c r="CA11" s="84"/>
      <c r="CB11" s="84"/>
      <c r="CC11" s="84"/>
      <c r="CD11" s="84"/>
      <c r="CE11" s="84"/>
      <c r="CF11" s="84"/>
      <c r="CG11" s="84"/>
      <c r="CH11" s="84"/>
      <c r="CI11" s="84"/>
      <c r="CJ11" s="84"/>
      <c r="CK11" s="84"/>
      <c r="CL11" s="84"/>
      <c r="CM11" s="84"/>
      <c r="CN11" s="84"/>
      <c r="CO11" s="84"/>
      <c r="CP11" s="84"/>
      <c r="CQ11" s="84"/>
      <c r="CR11" s="84"/>
      <c r="CS11" s="84"/>
    </row>
    <row r="12" spans="1:97" s="60" customFormat="1" ht="25.05" customHeight="1" x14ac:dyDescent="0.5">
      <c r="A12" s="82"/>
      <c r="B12" s="82"/>
      <c r="C12" s="59" t="s">
        <v>6</v>
      </c>
      <c r="D12" s="72"/>
      <c r="E12" s="61"/>
      <c r="F12" s="62"/>
      <c r="G12" s="62"/>
      <c r="H12" s="63"/>
      <c r="I12" s="64">
        <f t="shared" si="1"/>
        <v>0</v>
      </c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/>
      <c r="AO12" s="64"/>
      <c r="AP12" s="64"/>
      <c r="AQ12" s="65"/>
      <c r="AR12" s="82"/>
      <c r="AS12" s="8">
        <f t="shared" si="0"/>
        <v>0</v>
      </c>
      <c r="AT12" s="83">
        <f t="shared" si="2"/>
        <v>0</v>
      </c>
      <c r="AU12" s="48">
        <f t="shared" si="3"/>
        <v>0</v>
      </c>
      <c r="AV12" s="82"/>
      <c r="AW12" s="82"/>
      <c r="AX12" s="82"/>
      <c r="AY12" s="82"/>
      <c r="AZ12" s="82"/>
      <c r="BA12" s="82"/>
      <c r="BB12" s="82"/>
      <c r="BC12" s="82"/>
      <c r="BD12" s="82"/>
      <c r="BE12" s="82"/>
      <c r="BF12" s="82"/>
      <c r="BG12" s="82"/>
      <c r="BH12" s="82"/>
      <c r="BI12" s="82"/>
      <c r="BJ12" s="82"/>
      <c r="BK12" s="82"/>
      <c r="BL12" s="82"/>
      <c r="BM12" s="82"/>
      <c r="BN12" s="82"/>
      <c r="BO12" s="82"/>
      <c r="BP12" s="82"/>
      <c r="BQ12" s="82"/>
      <c r="BR12" s="82"/>
      <c r="BS12" s="82"/>
      <c r="BT12" s="84"/>
      <c r="BU12" s="84"/>
      <c r="BV12" s="84"/>
      <c r="BW12" s="84"/>
      <c r="BX12" s="84"/>
      <c r="BY12" s="84"/>
      <c r="BZ12" s="84"/>
      <c r="CA12" s="84"/>
      <c r="CB12" s="84"/>
      <c r="CC12" s="84"/>
      <c r="CD12" s="84"/>
      <c r="CE12" s="84"/>
      <c r="CF12" s="84"/>
      <c r="CG12" s="84"/>
      <c r="CH12" s="84"/>
      <c r="CI12" s="84"/>
      <c r="CJ12" s="84"/>
      <c r="CK12" s="84"/>
      <c r="CL12" s="84"/>
      <c r="CM12" s="84"/>
      <c r="CN12" s="84"/>
      <c r="CO12" s="84"/>
      <c r="CP12" s="84"/>
      <c r="CQ12" s="84"/>
      <c r="CR12" s="84"/>
      <c r="CS12" s="84"/>
    </row>
    <row r="13" spans="1:97" ht="21" customHeight="1" x14ac:dyDescent="0.45">
      <c r="C13" s="27" t="s">
        <v>35</v>
      </c>
      <c r="D13" s="27" t="s">
        <v>41</v>
      </c>
      <c r="E13" s="25">
        <v>0.6</v>
      </c>
      <c r="F13" s="26">
        <v>45964</v>
      </c>
      <c r="G13" s="26">
        <v>46135</v>
      </c>
      <c r="H13" s="23"/>
      <c r="I13" s="24">
        <f>1*AND(I$5&gt;=task_start,I$5&lt;=task_start+(task_progress*(task_end-task_start+1))-1)</f>
        <v>0</v>
      </c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2"/>
      <c r="AS13" s="8">
        <f t="shared" si="0"/>
        <v>24</v>
      </c>
      <c r="AT13" s="46">
        <f t="shared" si="2"/>
        <v>72</v>
      </c>
      <c r="AU13" s="48">
        <f t="shared" si="3"/>
        <v>1080</v>
      </c>
      <c r="AV13" s="82"/>
      <c r="AW13" s="82"/>
      <c r="AX13" s="82"/>
      <c r="AY13" s="82"/>
      <c r="AZ13" s="82"/>
      <c r="BA13" s="82"/>
      <c r="BB13" s="82"/>
      <c r="BC13" s="82"/>
      <c r="BD13" s="82"/>
      <c r="BE13" s="82"/>
      <c r="BF13" s="82"/>
      <c r="BG13" s="82"/>
      <c r="BH13" s="82"/>
      <c r="BI13" s="82"/>
      <c r="BJ13" s="82"/>
      <c r="BK13" s="82"/>
      <c r="BL13" s="82"/>
      <c r="BM13" s="82"/>
      <c r="BN13" s="82"/>
      <c r="BO13" s="82"/>
      <c r="BP13" s="82"/>
      <c r="BQ13" s="82"/>
      <c r="BR13" s="82"/>
      <c r="BS13" s="82"/>
      <c r="BT13" s="84"/>
      <c r="BU13" s="84"/>
      <c r="BV13" s="84"/>
      <c r="BW13" s="84"/>
      <c r="BX13" s="84"/>
      <c r="BY13" s="84"/>
      <c r="BZ13" s="84"/>
      <c r="CA13" s="84"/>
      <c r="CB13" s="84"/>
      <c r="CC13" s="84"/>
      <c r="CD13" s="84"/>
      <c r="CE13" s="84"/>
      <c r="CF13" s="84"/>
      <c r="CG13" s="84"/>
      <c r="CH13" s="84"/>
      <c r="CI13" s="84"/>
      <c r="CJ13" s="84"/>
      <c r="CK13" s="84"/>
      <c r="CL13" s="84"/>
      <c r="CM13" s="84"/>
      <c r="CN13" s="84"/>
      <c r="CO13" s="84"/>
      <c r="CP13" s="84"/>
      <c r="CQ13" s="84"/>
      <c r="CR13" s="84"/>
      <c r="CS13" s="84"/>
    </row>
    <row r="14" spans="1:97" ht="21" customHeight="1" x14ac:dyDescent="0.45">
      <c r="C14" s="27" t="s">
        <v>32</v>
      </c>
      <c r="D14" s="27" t="s">
        <v>42</v>
      </c>
      <c r="E14" s="25">
        <v>0.6</v>
      </c>
      <c r="F14" s="26">
        <v>45978</v>
      </c>
      <c r="G14" s="26">
        <v>46135</v>
      </c>
      <c r="H14" s="23"/>
      <c r="I14" s="24">
        <f t="shared" si="1"/>
        <v>0</v>
      </c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2"/>
      <c r="AS14" s="8">
        <f t="shared" si="0"/>
        <v>22</v>
      </c>
      <c r="AT14" s="46">
        <f t="shared" si="2"/>
        <v>66</v>
      </c>
      <c r="AU14" s="48">
        <f t="shared" si="3"/>
        <v>990</v>
      </c>
      <c r="AV14" s="82" t="s">
        <v>27</v>
      </c>
      <c r="AW14" s="82"/>
      <c r="AX14" s="82"/>
      <c r="AY14" s="82"/>
      <c r="AZ14" s="82"/>
      <c r="BA14" s="82"/>
      <c r="BB14" s="82"/>
      <c r="BC14" s="82"/>
      <c r="BD14" s="82"/>
      <c r="BE14" s="82"/>
      <c r="BF14" s="82"/>
      <c r="BG14" s="82"/>
      <c r="BH14" s="82"/>
      <c r="BI14" s="82"/>
      <c r="BJ14" s="82"/>
      <c r="BK14" s="82"/>
      <c r="BL14" s="82"/>
      <c r="BM14" s="82"/>
      <c r="BN14" s="82"/>
      <c r="BO14" s="82"/>
      <c r="BP14" s="82"/>
      <c r="BQ14" s="82"/>
      <c r="BR14" s="82"/>
      <c r="BS14" s="82"/>
      <c r="BT14" s="84"/>
      <c r="BU14" s="84"/>
      <c r="BV14" s="84"/>
      <c r="BW14" s="84"/>
      <c r="BX14" s="84"/>
      <c r="BY14" s="84"/>
      <c r="BZ14" s="84"/>
      <c r="CA14" s="84"/>
      <c r="CB14" s="84"/>
      <c r="CC14" s="84"/>
      <c r="CD14" s="84"/>
      <c r="CE14" s="84"/>
      <c r="CF14" s="84"/>
      <c r="CG14" s="84"/>
      <c r="CH14" s="84"/>
      <c r="CI14" s="84"/>
      <c r="CJ14" s="84"/>
      <c r="CK14" s="84"/>
      <c r="CL14" s="84"/>
      <c r="CM14" s="84"/>
      <c r="CN14" s="84"/>
      <c r="CO14" s="84"/>
      <c r="CP14" s="84"/>
      <c r="CQ14" s="84"/>
      <c r="CR14" s="84"/>
      <c r="CS14" s="84"/>
    </row>
    <row r="15" spans="1:97" ht="21" customHeight="1" x14ac:dyDescent="0.45">
      <c r="C15" s="27" t="s">
        <v>34</v>
      </c>
      <c r="D15" s="27" t="s">
        <v>47</v>
      </c>
      <c r="E15" s="25">
        <v>0.1</v>
      </c>
      <c r="F15" s="26">
        <v>45992</v>
      </c>
      <c r="G15" s="26">
        <v>45770</v>
      </c>
      <c r="H15" s="23"/>
      <c r="I15" s="24">
        <f t="shared" si="1"/>
        <v>0</v>
      </c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2"/>
      <c r="AS15" s="8">
        <f t="shared" si="0"/>
        <v>-32</v>
      </c>
      <c r="AT15" s="46">
        <f t="shared" si="2"/>
        <v>-96</v>
      </c>
      <c r="AU15" s="48">
        <f t="shared" si="3"/>
        <v>-1440</v>
      </c>
      <c r="AV15" s="82"/>
      <c r="AW15" s="82"/>
      <c r="AX15" s="82"/>
      <c r="AY15" s="82"/>
      <c r="AZ15" s="82"/>
      <c r="BA15" s="82"/>
      <c r="BB15" s="82"/>
      <c r="BC15" s="82"/>
      <c r="BD15" s="82"/>
      <c r="BE15" s="82"/>
      <c r="BF15" s="82"/>
      <c r="BG15" s="82"/>
      <c r="BH15" s="82"/>
      <c r="BI15" s="82"/>
      <c r="BJ15" s="82"/>
      <c r="BK15" s="82"/>
      <c r="BL15" s="82"/>
      <c r="BM15" s="82"/>
      <c r="BN15" s="82"/>
      <c r="BO15" s="82"/>
      <c r="BP15" s="82"/>
      <c r="BQ15" s="82"/>
      <c r="BR15" s="82"/>
      <c r="BS15" s="82"/>
      <c r="BT15" s="84"/>
      <c r="BU15" s="84"/>
      <c r="BV15" s="84"/>
      <c r="BW15" s="84"/>
      <c r="BX15" s="84"/>
      <c r="BY15" s="84"/>
      <c r="BZ15" s="84"/>
      <c r="CA15" s="84"/>
      <c r="CB15" s="84"/>
      <c r="CC15" s="84"/>
      <c r="CD15" s="84"/>
      <c r="CE15" s="84"/>
      <c r="CF15" s="84"/>
      <c r="CG15" s="84"/>
      <c r="CH15" s="84"/>
      <c r="CI15" s="84"/>
      <c r="CJ15" s="84"/>
      <c r="CK15" s="84"/>
      <c r="CL15" s="84"/>
      <c r="CM15" s="84"/>
      <c r="CN15" s="84"/>
      <c r="CO15" s="84"/>
      <c r="CP15" s="84"/>
      <c r="CQ15" s="84"/>
      <c r="CR15" s="84"/>
      <c r="CS15" s="84"/>
    </row>
    <row r="16" spans="1:97" ht="21" customHeight="1" x14ac:dyDescent="0.45">
      <c r="C16" s="27" t="s">
        <v>48</v>
      </c>
      <c r="D16" s="51"/>
      <c r="E16" s="25">
        <v>0</v>
      </c>
      <c r="F16" s="26">
        <v>45962</v>
      </c>
      <c r="G16" s="26">
        <v>45962</v>
      </c>
      <c r="H16" s="23"/>
      <c r="I16" s="24">
        <f t="shared" si="1"/>
        <v>0</v>
      </c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2"/>
      <c r="AS16" s="8">
        <f t="shared" si="0"/>
        <v>0</v>
      </c>
      <c r="AT16" s="46">
        <f t="shared" si="2"/>
        <v>0</v>
      </c>
      <c r="AU16" s="48">
        <f t="shared" si="3"/>
        <v>0</v>
      </c>
      <c r="AV16" s="82"/>
      <c r="AW16" s="82"/>
      <c r="AX16" s="82"/>
      <c r="AY16" s="82"/>
      <c r="AZ16" s="82"/>
      <c r="BA16" s="82"/>
      <c r="BB16" s="82"/>
      <c r="BC16" s="82"/>
      <c r="BD16" s="82"/>
      <c r="BE16" s="82"/>
      <c r="BF16" s="82"/>
      <c r="BG16" s="82"/>
      <c r="BH16" s="82"/>
      <c r="BI16" s="82"/>
      <c r="BJ16" s="82"/>
      <c r="BK16" s="82"/>
      <c r="BL16" s="82"/>
      <c r="BM16" s="82"/>
      <c r="BN16" s="82"/>
      <c r="BO16" s="82"/>
      <c r="BP16" s="82"/>
      <c r="BQ16" s="82"/>
      <c r="BR16" s="82"/>
      <c r="BS16" s="82"/>
      <c r="BT16" s="84"/>
      <c r="BU16" s="84"/>
      <c r="BV16" s="84"/>
      <c r="BW16" s="84"/>
      <c r="BX16" s="84"/>
      <c r="BY16" s="84"/>
      <c r="BZ16" s="84"/>
      <c r="CA16" s="84"/>
      <c r="CB16" s="84"/>
      <c r="CC16" s="84"/>
      <c r="CD16" s="84"/>
      <c r="CE16" s="84"/>
      <c r="CF16" s="84"/>
      <c r="CG16" s="84"/>
      <c r="CH16" s="84"/>
      <c r="CI16" s="84"/>
      <c r="CJ16" s="84"/>
      <c r="CK16" s="84"/>
      <c r="CL16" s="84"/>
      <c r="CM16" s="84"/>
      <c r="CN16" s="84"/>
      <c r="CO16" s="84"/>
      <c r="CP16" s="84"/>
      <c r="CQ16" s="84"/>
      <c r="CR16" s="84"/>
      <c r="CS16" s="84"/>
    </row>
    <row r="17" spans="1:97" s="58" customFormat="1" ht="25.05" customHeight="1" x14ac:dyDescent="0.65">
      <c r="A17" s="82"/>
      <c r="B17" s="82"/>
      <c r="C17" s="52" t="s">
        <v>7</v>
      </c>
      <c r="D17" s="73"/>
      <c r="E17" s="54"/>
      <c r="F17" s="55"/>
      <c r="G17" s="55"/>
      <c r="H17" s="53"/>
      <c r="I17" s="56">
        <f t="shared" si="1"/>
        <v>0</v>
      </c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/>
      <c r="AQ17" s="57"/>
      <c r="AR17" s="82"/>
      <c r="AS17" s="8">
        <f t="shared" si="0"/>
        <v>0</v>
      </c>
      <c r="AT17" s="83">
        <f t="shared" si="2"/>
        <v>0</v>
      </c>
      <c r="AU17" s="48">
        <f t="shared" si="3"/>
        <v>0</v>
      </c>
      <c r="AV17" s="82"/>
      <c r="AW17" s="82"/>
      <c r="AX17" s="82"/>
      <c r="AY17" s="82"/>
      <c r="AZ17" s="82"/>
      <c r="BA17" s="82"/>
      <c r="BB17" s="82"/>
      <c r="BC17" s="82"/>
      <c r="BD17" s="82"/>
      <c r="BE17" s="82"/>
      <c r="BF17" s="82"/>
      <c r="BG17" s="82"/>
      <c r="BH17" s="82"/>
      <c r="BI17" s="82"/>
      <c r="BJ17" s="82"/>
      <c r="BK17" s="82"/>
      <c r="BL17" s="82"/>
      <c r="BM17" s="82"/>
      <c r="BN17" s="82"/>
      <c r="BO17" s="82"/>
      <c r="BP17" s="82"/>
      <c r="BQ17" s="82"/>
      <c r="BR17" s="82"/>
      <c r="BS17" s="82"/>
      <c r="BT17" s="84"/>
      <c r="BU17" s="84"/>
      <c r="BV17" s="84"/>
      <c r="BW17" s="84"/>
      <c r="BX17" s="84"/>
      <c r="BY17" s="84"/>
      <c r="BZ17" s="84"/>
      <c r="CA17" s="84"/>
      <c r="CB17" s="84"/>
      <c r="CC17" s="84"/>
      <c r="CD17" s="84"/>
      <c r="CE17" s="84"/>
      <c r="CF17" s="84"/>
      <c r="CG17" s="84"/>
      <c r="CH17" s="84"/>
      <c r="CI17" s="84"/>
      <c r="CJ17" s="84"/>
      <c r="CK17" s="84"/>
      <c r="CL17" s="84"/>
      <c r="CM17" s="84"/>
      <c r="CN17" s="84"/>
      <c r="CO17" s="84"/>
      <c r="CP17" s="84"/>
      <c r="CQ17" s="84"/>
      <c r="CR17" s="84"/>
      <c r="CS17" s="84"/>
    </row>
    <row r="18" spans="1:97" ht="21" customHeight="1" x14ac:dyDescent="0.45">
      <c r="C18" s="27" t="s">
        <v>30</v>
      </c>
      <c r="D18" s="50" t="s">
        <v>43</v>
      </c>
      <c r="E18" s="25">
        <v>1</v>
      </c>
      <c r="F18" s="26">
        <v>45945</v>
      </c>
      <c r="G18" s="26">
        <v>45950</v>
      </c>
      <c r="H18" s="23"/>
      <c r="I18" s="24">
        <f t="shared" si="1"/>
        <v>0</v>
      </c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2"/>
      <c r="AS18" s="8">
        <f t="shared" si="0"/>
        <v>0</v>
      </c>
      <c r="AT18" s="46">
        <f t="shared" si="2"/>
        <v>0</v>
      </c>
      <c r="AU18" s="48">
        <f t="shared" si="3"/>
        <v>0</v>
      </c>
      <c r="AV18" s="82"/>
      <c r="AW18" s="82"/>
      <c r="AX18" s="82"/>
      <c r="AY18" s="82"/>
      <c r="AZ18" s="82"/>
      <c r="BA18" s="82"/>
      <c r="BB18" s="82"/>
      <c r="BC18" s="82"/>
      <c r="BD18" s="82"/>
      <c r="BE18" s="82"/>
      <c r="BF18" s="82"/>
      <c r="BG18" s="82"/>
      <c r="BH18" s="82"/>
      <c r="BI18" s="82"/>
      <c r="BJ18" s="82"/>
      <c r="BK18" s="82"/>
      <c r="BL18" s="82"/>
      <c r="BM18" s="82"/>
      <c r="BN18" s="82"/>
      <c r="BO18" s="82"/>
      <c r="BP18" s="82"/>
      <c r="BQ18" s="82"/>
      <c r="BR18" s="82"/>
      <c r="BS18" s="82"/>
      <c r="BT18" s="84"/>
      <c r="BU18" s="84"/>
      <c r="BV18" s="84"/>
      <c r="BW18" s="84"/>
      <c r="BX18" s="84"/>
      <c r="BY18" s="84"/>
      <c r="BZ18" s="84"/>
      <c r="CA18" s="84"/>
      <c r="CB18" s="84"/>
      <c r="CC18" s="84"/>
      <c r="CD18" s="84"/>
      <c r="CE18" s="84"/>
      <c r="CF18" s="84"/>
      <c r="CG18" s="84"/>
      <c r="CH18" s="84"/>
      <c r="CI18" s="84"/>
      <c r="CJ18" s="84"/>
      <c r="CK18" s="84"/>
      <c r="CL18" s="84"/>
      <c r="CM18" s="84"/>
      <c r="CN18" s="84"/>
      <c r="CO18" s="84"/>
      <c r="CP18" s="84"/>
      <c r="CQ18" s="84"/>
      <c r="CR18" s="84"/>
      <c r="CS18" s="84"/>
    </row>
    <row r="19" spans="1:97" ht="21" customHeight="1" x14ac:dyDescent="0.45">
      <c r="C19" s="27" t="s">
        <v>46</v>
      </c>
      <c r="D19" s="27" t="s">
        <v>43</v>
      </c>
      <c r="E19" s="25">
        <v>1</v>
      </c>
      <c r="F19" s="26">
        <v>45980</v>
      </c>
      <c r="G19" s="26">
        <v>46010</v>
      </c>
      <c r="H19" s="23"/>
      <c r="I19" s="24">
        <f t="shared" si="1"/>
        <v>0</v>
      </c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2"/>
      <c r="AS19" s="8">
        <f t="shared" si="0"/>
        <v>4</v>
      </c>
      <c r="AT19" s="46">
        <f t="shared" si="2"/>
        <v>12</v>
      </c>
      <c r="AU19" s="48">
        <f t="shared" si="3"/>
        <v>180</v>
      </c>
      <c r="AV19" s="82"/>
      <c r="AW19" s="82"/>
      <c r="AX19" s="82"/>
      <c r="AY19" s="82"/>
      <c r="AZ19" s="82"/>
      <c r="BA19" s="82"/>
      <c r="BB19" s="82"/>
      <c r="BC19" s="82"/>
      <c r="BD19" s="82"/>
      <c r="BE19" s="82"/>
      <c r="BF19" s="82"/>
      <c r="BG19" s="82"/>
      <c r="BH19" s="82"/>
      <c r="BI19" s="82"/>
      <c r="BJ19" s="82"/>
      <c r="BK19" s="82"/>
      <c r="BL19" s="82"/>
      <c r="BM19" s="82"/>
      <c r="BN19" s="82"/>
      <c r="BO19" s="82"/>
      <c r="BP19" s="82"/>
      <c r="BQ19" s="82"/>
      <c r="BR19" s="82"/>
      <c r="BS19" s="82"/>
      <c r="BT19" s="84"/>
      <c r="BU19" s="84"/>
      <c r="BV19" s="84"/>
      <c r="BW19" s="84"/>
      <c r="BX19" s="84"/>
      <c r="BY19" s="84"/>
      <c r="BZ19" s="84"/>
      <c r="CA19" s="84"/>
      <c r="CB19" s="84"/>
      <c r="CC19" s="84"/>
      <c r="CD19" s="84"/>
      <c r="CE19" s="84"/>
      <c r="CF19" s="84"/>
      <c r="CG19" s="84"/>
      <c r="CH19" s="84"/>
      <c r="CI19" s="84"/>
      <c r="CJ19" s="84"/>
      <c r="CK19" s="84"/>
      <c r="CL19" s="84"/>
      <c r="CM19" s="84"/>
      <c r="CN19" s="84"/>
      <c r="CO19" s="84"/>
      <c r="CP19" s="84"/>
      <c r="CQ19" s="84"/>
      <c r="CR19" s="84"/>
      <c r="CS19" s="84"/>
    </row>
    <row r="20" spans="1:97" ht="21" customHeight="1" x14ac:dyDescent="0.45">
      <c r="C20" s="50"/>
      <c r="D20" s="27"/>
      <c r="E20" s="25">
        <v>0</v>
      </c>
      <c r="F20" s="26">
        <v>45962</v>
      </c>
      <c r="G20" s="26">
        <v>45962</v>
      </c>
      <c r="H20" s="23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2"/>
      <c r="AS20" s="8">
        <f t="shared" si="0"/>
        <v>0</v>
      </c>
      <c r="AT20" s="46">
        <f t="shared" si="2"/>
        <v>0</v>
      </c>
      <c r="AU20" s="48">
        <f t="shared" si="3"/>
        <v>0</v>
      </c>
      <c r="AV20" s="82"/>
      <c r="AW20" s="82"/>
      <c r="AX20" s="82"/>
      <c r="AY20" s="82"/>
      <c r="AZ20" s="82"/>
      <c r="BA20" s="82"/>
      <c r="BB20" s="82"/>
      <c r="BC20" s="82"/>
      <c r="BD20" s="82"/>
      <c r="BE20" s="82"/>
      <c r="BF20" s="82"/>
      <c r="BG20" s="82"/>
      <c r="BH20" s="82"/>
      <c r="BI20" s="82"/>
      <c r="BJ20" s="82"/>
      <c r="BK20" s="82"/>
      <c r="BL20" s="82"/>
      <c r="BM20" s="82"/>
      <c r="BN20" s="82"/>
      <c r="BO20" s="82"/>
      <c r="BP20" s="82"/>
      <c r="BQ20" s="82"/>
      <c r="BR20" s="82"/>
      <c r="BS20" s="82"/>
      <c r="BT20" s="84"/>
      <c r="BU20" s="84"/>
      <c r="BV20" s="84"/>
      <c r="BW20" s="84"/>
      <c r="BX20" s="84"/>
      <c r="BY20" s="84"/>
      <c r="BZ20" s="84"/>
      <c r="CA20" s="84"/>
      <c r="CB20" s="84"/>
      <c r="CC20" s="84"/>
      <c r="CD20" s="84"/>
      <c r="CE20" s="84"/>
      <c r="CF20" s="84"/>
      <c r="CG20" s="84"/>
      <c r="CH20" s="84"/>
      <c r="CI20" s="84"/>
      <c r="CJ20" s="84"/>
      <c r="CK20" s="84"/>
      <c r="CL20" s="84"/>
      <c r="CM20" s="84"/>
      <c r="CN20" s="84"/>
      <c r="CO20" s="84"/>
      <c r="CP20" s="84"/>
      <c r="CQ20" s="84"/>
      <c r="CR20" s="84"/>
      <c r="CS20" s="84"/>
    </row>
    <row r="21" spans="1:97" ht="21" customHeight="1" x14ac:dyDescent="0.45">
      <c r="C21" s="27"/>
      <c r="D21" s="27"/>
      <c r="E21" s="25">
        <v>0</v>
      </c>
      <c r="F21" s="26">
        <v>45962</v>
      </c>
      <c r="G21" s="26">
        <v>45962</v>
      </c>
      <c r="H21" s="23"/>
      <c r="I21" s="24">
        <f t="shared" si="1"/>
        <v>0</v>
      </c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2"/>
      <c r="AS21" s="8">
        <f t="shared" si="0"/>
        <v>0</v>
      </c>
      <c r="AT21" s="46">
        <f t="shared" si="2"/>
        <v>0</v>
      </c>
      <c r="AU21" s="48">
        <f t="shared" si="3"/>
        <v>0</v>
      </c>
      <c r="AV21" s="82"/>
      <c r="AW21" s="82"/>
      <c r="AX21" s="82"/>
      <c r="AY21" s="82"/>
      <c r="AZ21" s="82"/>
      <c r="BA21" s="82"/>
      <c r="BB21" s="82"/>
      <c r="BC21" s="82"/>
      <c r="BD21" s="82"/>
      <c r="BE21" s="82"/>
      <c r="BF21" s="82"/>
      <c r="BG21" s="82"/>
      <c r="BH21" s="82"/>
      <c r="BI21" s="82"/>
      <c r="BJ21" s="82"/>
      <c r="BK21" s="82"/>
      <c r="BL21" s="82"/>
      <c r="BM21" s="82"/>
      <c r="BN21" s="82"/>
      <c r="BO21" s="82"/>
      <c r="BP21" s="82"/>
      <c r="BQ21" s="82"/>
      <c r="BR21" s="82"/>
      <c r="BS21" s="82"/>
      <c r="BT21" s="84"/>
      <c r="BU21" s="84"/>
      <c r="BV21" s="84"/>
      <c r="BW21" s="84"/>
      <c r="BX21" s="84"/>
      <c r="BY21" s="84"/>
      <c r="BZ21" s="84"/>
      <c r="CA21" s="84"/>
      <c r="CB21" s="84"/>
      <c r="CC21" s="84"/>
      <c r="CD21" s="84"/>
      <c r="CE21" s="84"/>
      <c r="CF21" s="84"/>
      <c r="CG21" s="84"/>
      <c r="CH21" s="84"/>
      <c r="CI21" s="84"/>
      <c r="CJ21" s="84"/>
      <c r="CK21" s="84"/>
      <c r="CL21" s="84"/>
      <c r="CM21" s="84"/>
      <c r="CN21" s="84"/>
      <c r="CO21" s="84"/>
      <c r="CP21" s="84"/>
      <c r="CQ21" s="84"/>
      <c r="CR21" s="84"/>
      <c r="CS21" s="84"/>
    </row>
    <row r="22" spans="1:97" s="81" customFormat="1" ht="25.05" customHeight="1" x14ac:dyDescent="0.45">
      <c r="A22" s="82"/>
      <c r="B22" s="82"/>
      <c r="C22" s="74" t="s">
        <v>8</v>
      </c>
      <c r="D22" s="75"/>
      <c r="E22" s="76"/>
      <c r="F22" s="77"/>
      <c r="G22" s="77"/>
      <c r="H22" s="78"/>
      <c r="I22" s="79">
        <f t="shared" si="1"/>
        <v>0</v>
      </c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79"/>
      <c r="AM22" s="79"/>
      <c r="AN22" s="79"/>
      <c r="AO22" s="79"/>
      <c r="AP22" s="79"/>
      <c r="AQ22" s="80"/>
      <c r="AR22" s="82"/>
      <c r="AS22" s="8">
        <f t="shared" si="0"/>
        <v>0</v>
      </c>
      <c r="AT22" s="83">
        <f t="shared" si="2"/>
        <v>0</v>
      </c>
      <c r="AU22" s="48">
        <f t="shared" si="3"/>
        <v>0</v>
      </c>
      <c r="AV22" s="82"/>
      <c r="AW22" s="82"/>
      <c r="AX22" s="82"/>
      <c r="AY22" s="82"/>
      <c r="AZ22" s="82"/>
      <c r="BA22" s="82"/>
      <c r="BB22" s="82"/>
      <c r="BC22" s="82"/>
      <c r="BD22" s="82"/>
      <c r="BE22" s="82"/>
      <c r="BF22" s="82"/>
      <c r="BG22" s="82"/>
      <c r="BH22" s="82"/>
      <c r="BI22" s="82"/>
      <c r="BJ22" s="82"/>
      <c r="BK22" s="82"/>
      <c r="BL22" s="82"/>
      <c r="BM22" s="82"/>
      <c r="BN22" s="82"/>
      <c r="BO22" s="82"/>
      <c r="BP22" s="82"/>
      <c r="BQ22" s="82"/>
      <c r="BR22" s="82"/>
      <c r="BS22" s="82"/>
      <c r="BT22" s="84"/>
      <c r="BU22" s="84"/>
      <c r="BV22" s="84"/>
      <c r="BW22" s="84"/>
      <c r="BX22" s="84"/>
      <c r="BY22" s="84"/>
      <c r="BZ22" s="84"/>
      <c r="CA22" s="84"/>
      <c r="CB22" s="84"/>
      <c r="CC22" s="84"/>
      <c r="CD22" s="84"/>
      <c r="CE22" s="84"/>
      <c r="CF22" s="84"/>
      <c r="CG22" s="84"/>
      <c r="CH22" s="84"/>
      <c r="CI22" s="84"/>
      <c r="CJ22" s="84"/>
      <c r="CK22" s="84"/>
      <c r="CL22" s="84"/>
      <c r="CM22" s="84"/>
      <c r="CN22" s="84"/>
      <c r="CO22" s="84"/>
      <c r="CP22" s="84"/>
      <c r="CQ22" s="84"/>
      <c r="CR22" s="84"/>
      <c r="CS22" s="84"/>
    </row>
    <row r="23" spans="1:97" ht="21" customHeight="1" x14ac:dyDescent="0.45">
      <c r="C23" s="50" t="s">
        <v>31</v>
      </c>
      <c r="D23" s="27" t="s">
        <v>45</v>
      </c>
      <c r="E23" s="25">
        <v>10</v>
      </c>
      <c r="F23" s="26">
        <v>45992</v>
      </c>
      <c r="G23" s="26">
        <v>46006</v>
      </c>
      <c r="H23" s="23"/>
      <c r="I23" s="24">
        <f t="shared" si="1"/>
        <v>0</v>
      </c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2"/>
      <c r="AS23" s="8">
        <f t="shared" si="0"/>
        <v>2</v>
      </c>
      <c r="AT23" s="46">
        <f t="shared" si="2"/>
        <v>6</v>
      </c>
      <c r="AU23" s="48">
        <f t="shared" si="3"/>
        <v>90</v>
      </c>
      <c r="AV23" s="82"/>
      <c r="AW23" s="82"/>
      <c r="AX23" s="82"/>
      <c r="AY23" s="82"/>
      <c r="AZ23" s="82"/>
      <c r="BA23" s="82"/>
      <c r="BB23" s="82"/>
      <c r="BC23" s="82"/>
      <c r="BD23" s="82"/>
      <c r="BE23" s="82"/>
      <c r="BF23" s="82"/>
      <c r="BG23" s="82"/>
      <c r="BH23" s="82"/>
      <c r="BI23" s="82"/>
      <c r="BJ23" s="82"/>
      <c r="BK23" s="82"/>
      <c r="BL23" s="82"/>
      <c r="BM23" s="82"/>
      <c r="BN23" s="82"/>
      <c r="BO23" s="82"/>
      <c r="BP23" s="82"/>
      <c r="BQ23" s="82"/>
      <c r="BR23" s="82"/>
      <c r="BS23" s="82"/>
      <c r="BT23" s="84"/>
      <c r="BU23" s="84"/>
      <c r="BV23" s="84"/>
      <c r="BW23" s="84"/>
      <c r="BX23" s="84"/>
      <c r="BY23" s="84"/>
      <c r="BZ23" s="84"/>
      <c r="CA23" s="84"/>
      <c r="CB23" s="84"/>
      <c r="CC23" s="84"/>
      <c r="CD23" s="84"/>
      <c r="CE23" s="84"/>
      <c r="CF23" s="84"/>
      <c r="CG23" s="84"/>
      <c r="CH23" s="84"/>
      <c r="CI23" s="84"/>
      <c r="CJ23" s="84"/>
      <c r="CK23" s="84"/>
      <c r="CL23" s="84"/>
      <c r="CM23" s="84"/>
      <c r="CN23" s="84"/>
      <c r="CO23" s="84"/>
      <c r="CP23" s="84"/>
      <c r="CQ23" s="84"/>
      <c r="CR23" s="84"/>
      <c r="CS23" s="84"/>
    </row>
    <row r="24" spans="1:97" ht="21" customHeight="1" x14ac:dyDescent="0.45">
      <c r="C24" s="27" t="s">
        <v>33</v>
      </c>
      <c r="D24" s="27" t="s">
        <v>43</v>
      </c>
      <c r="E24" s="25">
        <v>1</v>
      </c>
      <c r="F24" s="26">
        <v>45962</v>
      </c>
      <c r="G24" s="26">
        <v>45979</v>
      </c>
      <c r="H24" s="23"/>
      <c r="I24" s="24">
        <f t="shared" si="1"/>
        <v>0</v>
      </c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2"/>
      <c r="AS24" s="8">
        <f t="shared" si="0"/>
        <v>2</v>
      </c>
      <c r="AT24" s="46">
        <f t="shared" si="2"/>
        <v>6</v>
      </c>
      <c r="AU24" s="48">
        <f t="shared" si="3"/>
        <v>90</v>
      </c>
      <c r="AV24" s="82"/>
      <c r="AW24" s="82"/>
      <c r="AX24" s="82"/>
      <c r="AY24" s="82"/>
      <c r="AZ24" s="82"/>
      <c r="BA24" s="82"/>
      <c r="BB24" s="82"/>
      <c r="BC24" s="82"/>
      <c r="BD24" s="82"/>
      <c r="BE24" s="82"/>
      <c r="BF24" s="82"/>
      <c r="BG24" s="82"/>
      <c r="BH24" s="82"/>
      <c r="BI24" s="82"/>
      <c r="BJ24" s="82"/>
      <c r="BK24" s="82"/>
      <c r="BL24" s="82"/>
      <c r="BM24" s="82"/>
      <c r="BN24" s="82"/>
      <c r="BO24" s="82"/>
      <c r="BP24" s="82"/>
      <c r="BQ24" s="82"/>
      <c r="BR24" s="82"/>
      <c r="BS24" s="82"/>
      <c r="BT24" s="84"/>
      <c r="BU24" s="84"/>
      <c r="BV24" s="84"/>
      <c r="BW24" s="84"/>
      <c r="BX24" s="84"/>
      <c r="BY24" s="84"/>
      <c r="BZ24" s="84"/>
      <c r="CA24" s="84"/>
      <c r="CB24" s="84"/>
      <c r="CC24" s="84"/>
      <c r="CD24" s="84"/>
      <c r="CE24" s="84"/>
      <c r="CF24" s="84"/>
      <c r="CG24" s="84"/>
      <c r="CH24" s="84"/>
      <c r="CI24" s="84"/>
      <c r="CJ24" s="84"/>
      <c r="CK24" s="84"/>
      <c r="CL24" s="84"/>
      <c r="CM24" s="84"/>
      <c r="CN24" s="84"/>
      <c r="CO24" s="84"/>
      <c r="CP24" s="84"/>
      <c r="CQ24" s="84"/>
      <c r="CR24" s="84"/>
      <c r="CS24" s="84"/>
    </row>
    <row r="25" spans="1:97" ht="21" customHeight="1" x14ac:dyDescent="0.45">
      <c r="C25" s="27" t="s">
        <v>49</v>
      </c>
      <c r="D25" s="27" t="s">
        <v>45</v>
      </c>
      <c r="E25" s="25">
        <v>0</v>
      </c>
      <c r="F25" s="26">
        <v>46113</v>
      </c>
      <c r="G25" s="26">
        <v>46174</v>
      </c>
      <c r="H25" s="23"/>
      <c r="I25" s="24">
        <f t="shared" si="1"/>
        <v>0</v>
      </c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2"/>
      <c r="AS25" s="8">
        <f t="shared" si="0"/>
        <v>8</v>
      </c>
      <c r="AT25" s="46">
        <f t="shared" si="2"/>
        <v>24</v>
      </c>
      <c r="AU25" s="48">
        <f t="shared" si="3"/>
        <v>360</v>
      </c>
      <c r="AV25" s="82"/>
      <c r="AW25" s="82"/>
      <c r="AX25" s="82"/>
      <c r="AY25" s="82"/>
      <c r="AZ25" s="82"/>
      <c r="BA25" s="82"/>
      <c r="BB25" s="82"/>
      <c r="BC25" s="82"/>
      <c r="BD25" s="82"/>
      <c r="BE25" s="82"/>
      <c r="BF25" s="82"/>
      <c r="BG25" s="82"/>
      <c r="BH25" s="82"/>
      <c r="BI25" s="82"/>
      <c r="BJ25" s="82"/>
      <c r="BK25" s="82"/>
      <c r="BL25" s="82"/>
      <c r="BM25" s="82"/>
      <c r="BN25" s="82"/>
      <c r="BO25" s="82"/>
      <c r="BP25" s="82"/>
      <c r="BQ25" s="82"/>
      <c r="BR25" s="82"/>
      <c r="BS25" s="82"/>
      <c r="BT25" s="84"/>
      <c r="BU25" s="84"/>
      <c r="BV25" s="84"/>
      <c r="BW25" s="84"/>
      <c r="BX25" s="84"/>
      <c r="BY25" s="84"/>
      <c r="BZ25" s="84"/>
      <c r="CA25" s="84"/>
      <c r="CB25" s="84"/>
      <c r="CC25" s="84"/>
      <c r="CD25" s="84"/>
      <c r="CE25" s="84"/>
      <c r="CF25" s="84"/>
      <c r="CG25" s="84"/>
      <c r="CH25" s="84"/>
      <c r="CI25" s="84"/>
      <c r="CJ25" s="84"/>
      <c r="CK25" s="84"/>
      <c r="CL25" s="84"/>
      <c r="CM25" s="84"/>
      <c r="CN25" s="84"/>
      <c r="CO25" s="84"/>
      <c r="CP25" s="84"/>
      <c r="CQ25" s="84"/>
      <c r="CR25" s="84"/>
      <c r="CS25" s="84"/>
    </row>
    <row r="26" spans="1:97" ht="21" customHeight="1" x14ac:dyDescent="0.45">
      <c r="C26" s="27"/>
      <c r="D26" s="27"/>
      <c r="E26" s="25">
        <v>0</v>
      </c>
      <c r="F26" s="26">
        <v>45962</v>
      </c>
      <c r="G26" s="26">
        <v>45962</v>
      </c>
      <c r="H26" s="23"/>
      <c r="I26" s="24">
        <f t="shared" si="1"/>
        <v>0</v>
      </c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2"/>
      <c r="AS26" s="8">
        <f t="shared" si="0"/>
        <v>0</v>
      </c>
      <c r="AT26" s="46">
        <f t="shared" si="2"/>
        <v>0</v>
      </c>
      <c r="AU26" s="48">
        <f t="shared" si="3"/>
        <v>0</v>
      </c>
      <c r="AV26" s="82"/>
      <c r="AW26" s="82"/>
      <c r="AX26" s="82"/>
      <c r="AY26" s="82"/>
      <c r="AZ26" s="82"/>
      <c r="BA26" s="82"/>
      <c r="BB26" s="82"/>
      <c r="BC26" s="82"/>
      <c r="BD26" s="82"/>
      <c r="BE26" s="82"/>
      <c r="BF26" s="82"/>
      <c r="BG26" s="82"/>
      <c r="BH26" s="82"/>
      <c r="BI26" s="82"/>
      <c r="BJ26" s="82"/>
      <c r="BK26" s="82"/>
      <c r="BL26" s="82"/>
      <c r="BM26" s="82"/>
      <c r="BN26" s="82"/>
      <c r="BO26" s="82"/>
      <c r="BP26" s="82"/>
      <c r="BQ26" s="82"/>
      <c r="BR26" s="82"/>
      <c r="BS26" s="82"/>
      <c r="BT26" s="84"/>
      <c r="BU26" s="84"/>
      <c r="BV26" s="84"/>
      <c r="BW26" s="84"/>
      <c r="BX26" s="84"/>
      <c r="BY26" s="84"/>
      <c r="BZ26" s="84"/>
      <c r="CA26" s="84"/>
      <c r="CB26" s="84"/>
      <c r="CC26" s="84"/>
      <c r="CD26" s="84"/>
      <c r="CE26" s="84"/>
      <c r="CF26" s="84"/>
      <c r="CG26" s="84"/>
      <c r="CH26" s="84"/>
      <c r="CI26" s="84"/>
      <c r="CJ26" s="84"/>
      <c r="CK26" s="84"/>
      <c r="CL26" s="84"/>
      <c r="CM26" s="84"/>
      <c r="CN26" s="84"/>
      <c r="CO26" s="84"/>
      <c r="CP26" s="84"/>
      <c r="CQ26" s="84"/>
      <c r="CR26" s="84"/>
      <c r="CS26" s="84"/>
    </row>
    <row r="27" spans="1:97" x14ac:dyDescent="0.45">
      <c r="AS27" s="8"/>
      <c r="AT27" s="46"/>
      <c r="AU27" s="48"/>
      <c r="AV27" s="82"/>
      <c r="AW27" s="82"/>
      <c r="AX27" s="82"/>
      <c r="AY27" s="82"/>
      <c r="AZ27" s="82"/>
      <c r="BA27" s="82"/>
      <c r="BB27" s="82"/>
      <c r="BC27" s="82"/>
      <c r="BD27" s="82"/>
      <c r="BE27" s="82"/>
      <c r="BF27" s="82"/>
      <c r="BG27" s="82"/>
      <c r="BH27" s="82"/>
      <c r="BI27" s="82"/>
      <c r="BJ27" s="82"/>
      <c r="BK27" s="82"/>
      <c r="BL27" s="82"/>
      <c r="BM27" s="82"/>
      <c r="BN27" s="82"/>
      <c r="BO27" s="82"/>
      <c r="BP27" s="82"/>
      <c r="BQ27" s="82"/>
      <c r="BR27" s="82"/>
      <c r="BS27" s="82"/>
      <c r="BT27" s="84"/>
      <c r="BU27" s="84"/>
      <c r="BV27" s="84"/>
      <c r="BW27" s="84"/>
      <c r="BX27" s="84"/>
      <c r="BY27" s="84"/>
      <c r="BZ27" s="84"/>
      <c r="CA27" s="84"/>
      <c r="CB27" s="84"/>
      <c r="CC27" s="84"/>
      <c r="CD27" s="84"/>
      <c r="CE27" s="84"/>
      <c r="CF27" s="84"/>
      <c r="CG27" s="84"/>
      <c r="CH27" s="84"/>
      <c r="CI27" s="84"/>
      <c r="CJ27" s="84"/>
      <c r="CK27" s="84"/>
      <c r="CL27" s="84"/>
      <c r="CM27" s="84"/>
      <c r="CN27" s="84"/>
      <c r="CO27" s="84"/>
      <c r="CP27" s="84"/>
      <c r="CQ27" s="84"/>
      <c r="CR27" s="84"/>
      <c r="CS27" s="84"/>
    </row>
    <row r="28" spans="1:97" x14ac:dyDescent="0.45">
      <c r="AS28" s="8"/>
      <c r="AT28" s="46"/>
      <c r="AU28" s="48"/>
      <c r="AV28" s="82"/>
      <c r="AW28" s="82"/>
      <c r="AX28" s="82"/>
      <c r="AY28" s="82"/>
      <c r="AZ28" s="82"/>
      <c r="BA28" s="82"/>
      <c r="BB28" s="82"/>
      <c r="BC28" s="82"/>
      <c r="BD28" s="82"/>
      <c r="BE28" s="82"/>
      <c r="BF28" s="82"/>
      <c r="BG28" s="82"/>
      <c r="BH28" s="82"/>
      <c r="BI28" s="82"/>
      <c r="BJ28" s="82"/>
      <c r="BK28" s="82"/>
      <c r="BL28" s="82"/>
      <c r="BM28" s="82"/>
      <c r="BN28" s="82"/>
      <c r="BO28" s="82"/>
      <c r="BP28" s="82"/>
      <c r="BQ28" s="82"/>
      <c r="BR28" s="82"/>
      <c r="BS28" s="82"/>
      <c r="BT28" s="84"/>
      <c r="BU28" s="84"/>
      <c r="BV28" s="84"/>
      <c r="BW28" s="84"/>
      <c r="BX28" s="84"/>
      <c r="BY28" s="84"/>
      <c r="BZ28" s="84"/>
      <c r="CA28" s="84"/>
      <c r="CB28" s="84"/>
      <c r="CC28" s="84"/>
      <c r="CD28" s="84"/>
      <c r="CE28" s="84"/>
      <c r="CF28" s="84"/>
      <c r="CG28" s="84"/>
      <c r="CH28" s="84"/>
      <c r="CI28" s="84"/>
      <c r="CJ28" s="84"/>
      <c r="CK28" s="84"/>
      <c r="CL28" s="84"/>
      <c r="CM28" s="84"/>
      <c r="CN28" s="84"/>
      <c r="CO28" s="84"/>
      <c r="CP28" s="84"/>
      <c r="CQ28" s="84"/>
      <c r="CR28" s="84"/>
      <c r="CS28" s="84"/>
    </row>
    <row r="29" spans="1:97" x14ac:dyDescent="0.45">
      <c r="C29" s="31"/>
      <c r="D29" s="32"/>
      <c r="E29" s="32"/>
      <c r="F29" s="33"/>
      <c r="AS29" s="8"/>
      <c r="AT29" s="46"/>
      <c r="AU29" s="48"/>
      <c r="AV29" s="82"/>
      <c r="AW29" s="82"/>
      <c r="AX29" s="82"/>
      <c r="AY29" s="82"/>
      <c r="AZ29" s="82"/>
      <c r="BA29" s="82"/>
      <c r="BB29" s="82"/>
      <c r="BC29" s="82"/>
      <c r="BD29" s="82"/>
      <c r="BE29" s="82"/>
      <c r="BF29" s="82"/>
      <c r="BG29" s="82"/>
      <c r="BH29" s="82"/>
      <c r="BI29" s="82"/>
      <c r="BJ29" s="82"/>
      <c r="BK29" s="82"/>
      <c r="BL29" s="82"/>
      <c r="BM29" s="82"/>
      <c r="BN29" s="82"/>
      <c r="BO29" s="82"/>
      <c r="BP29" s="82"/>
      <c r="BQ29" s="82"/>
      <c r="BR29" s="82"/>
      <c r="BS29" s="82"/>
      <c r="BT29" s="84"/>
      <c r="BU29" s="84"/>
      <c r="BV29" s="84"/>
      <c r="BW29" s="84"/>
      <c r="BX29" s="84"/>
      <c r="BY29" s="84"/>
      <c r="BZ29" s="84"/>
      <c r="CA29" s="84"/>
      <c r="CB29" s="84"/>
      <c r="CC29" s="84"/>
      <c r="CD29" s="84"/>
      <c r="CE29" s="84"/>
      <c r="CF29" s="84"/>
      <c r="CG29" s="84"/>
      <c r="CH29" s="84"/>
      <c r="CI29" s="84"/>
      <c r="CJ29" s="84"/>
      <c r="CK29" s="84"/>
      <c r="CL29" s="84"/>
      <c r="CM29" s="84"/>
      <c r="CN29" s="84"/>
      <c r="CO29" s="84"/>
      <c r="CP29" s="84"/>
      <c r="CQ29" s="84"/>
      <c r="CR29" s="84"/>
      <c r="CS29" s="84"/>
    </row>
    <row r="30" spans="1:97" ht="19.5" x14ac:dyDescent="0.6">
      <c r="C30" s="38" t="s">
        <v>16</v>
      </c>
      <c r="D30" s="89" t="s">
        <v>11</v>
      </c>
      <c r="E30" s="89"/>
      <c r="F30" s="90"/>
      <c r="J30" s="1" t="s">
        <v>37</v>
      </c>
      <c r="AS30" s="44">
        <f>SUM(AS8:AS26)</f>
        <v>30</v>
      </c>
      <c r="AT30" s="47">
        <f>SUM(AT8:AT26)</f>
        <v>90</v>
      </c>
      <c r="AU30" s="49">
        <f>SUM(AU8:AU26)</f>
        <v>1350</v>
      </c>
      <c r="AV30" s="82"/>
      <c r="AW30" s="82"/>
      <c r="AX30" s="82"/>
      <c r="AY30" s="82"/>
      <c r="AZ30" s="82"/>
      <c r="BA30" s="82"/>
      <c r="BB30" s="82"/>
      <c r="BC30" s="82"/>
      <c r="BD30" s="82"/>
      <c r="BE30" s="82"/>
      <c r="BF30" s="82"/>
      <c r="BG30" s="82"/>
      <c r="BH30" s="82"/>
      <c r="BI30" s="82"/>
      <c r="BJ30" s="82"/>
      <c r="BK30" s="82"/>
      <c r="BL30" s="82"/>
      <c r="BM30" s="82"/>
      <c r="BN30" s="82"/>
      <c r="BO30" s="82"/>
      <c r="BP30" s="82"/>
      <c r="BQ30" s="82"/>
      <c r="BR30" s="82"/>
      <c r="BS30" s="82"/>
      <c r="BT30" s="84"/>
      <c r="BU30" s="84"/>
      <c r="BV30" s="84"/>
      <c r="BW30" s="84"/>
      <c r="BX30" s="84"/>
      <c r="BY30" s="84"/>
      <c r="BZ30" s="84"/>
      <c r="CA30" s="84"/>
      <c r="CB30" s="84"/>
      <c r="CC30" s="84"/>
      <c r="CD30" s="84"/>
      <c r="CE30" s="84"/>
      <c r="CF30" s="84"/>
      <c r="CG30" s="84"/>
      <c r="CH30" s="84"/>
      <c r="CI30" s="84"/>
      <c r="CJ30" s="84"/>
      <c r="CK30" s="84"/>
      <c r="CL30" s="84"/>
      <c r="CM30" s="84"/>
      <c r="CN30" s="84"/>
      <c r="CO30" s="84"/>
      <c r="CP30" s="84"/>
      <c r="CQ30" s="84"/>
      <c r="CR30" s="84"/>
      <c r="CS30" s="84"/>
    </row>
    <row r="31" spans="1:97" x14ac:dyDescent="0.45">
      <c r="C31" s="35"/>
      <c r="D31" s="89" t="s">
        <v>12</v>
      </c>
      <c r="E31" s="89"/>
      <c r="F31" s="90"/>
      <c r="J31" s="1" t="s">
        <v>38</v>
      </c>
      <c r="AV31" s="82"/>
      <c r="AW31" s="82"/>
      <c r="AX31" s="82"/>
      <c r="AY31" s="82"/>
      <c r="AZ31" s="82"/>
      <c r="BA31" s="82"/>
      <c r="BB31" s="82"/>
      <c r="BC31" s="82"/>
      <c r="BD31" s="82"/>
      <c r="BE31" s="82"/>
      <c r="BF31" s="82"/>
      <c r="BG31" s="82"/>
      <c r="BH31" s="82"/>
      <c r="BI31" s="82"/>
      <c r="BJ31" s="82"/>
      <c r="BK31" s="82"/>
      <c r="BL31" s="82"/>
      <c r="BM31" s="82"/>
      <c r="BN31" s="82"/>
      <c r="BO31" s="82"/>
      <c r="BP31" s="82"/>
      <c r="BQ31" s="82"/>
      <c r="BR31" s="82"/>
      <c r="BS31" s="82"/>
    </row>
    <row r="32" spans="1:97" x14ac:dyDescent="0.45">
      <c r="C32" s="35"/>
      <c r="D32" s="89" t="s">
        <v>13</v>
      </c>
      <c r="E32" s="89"/>
      <c r="F32" s="90"/>
      <c r="J32" s="2" t="s">
        <v>39</v>
      </c>
      <c r="K32" s="2"/>
      <c r="L32" s="2"/>
      <c r="AV32" s="82"/>
      <c r="AW32" s="82"/>
      <c r="AX32" s="82"/>
      <c r="AY32" s="82"/>
      <c r="AZ32" s="82"/>
      <c r="BA32" s="82"/>
      <c r="BB32" s="82"/>
      <c r="BC32" s="82"/>
      <c r="BD32" s="82"/>
      <c r="BE32" s="82"/>
      <c r="BF32" s="82"/>
      <c r="BG32" s="82"/>
      <c r="BH32" s="82"/>
      <c r="BI32" s="82"/>
      <c r="BJ32" s="82"/>
      <c r="BK32" s="82"/>
      <c r="BL32" s="82"/>
      <c r="BM32" s="82"/>
      <c r="BN32" s="82"/>
      <c r="BO32" s="82"/>
      <c r="BP32" s="82"/>
      <c r="BQ32" s="82"/>
      <c r="BR32" s="82"/>
      <c r="BS32" s="82"/>
    </row>
    <row r="33" spans="3:12" x14ac:dyDescent="0.45">
      <c r="C33" s="35"/>
      <c r="D33" s="89" t="s">
        <v>17</v>
      </c>
      <c r="E33" s="89"/>
      <c r="F33" s="90"/>
      <c r="J33" s="2" t="s">
        <v>40</v>
      </c>
      <c r="K33" s="2"/>
      <c r="L33" s="2"/>
    </row>
    <row r="34" spans="3:12" x14ac:dyDescent="0.45">
      <c r="C34" s="35"/>
      <c r="D34" s="1"/>
      <c r="E34" s="1"/>
      <c r="F34" s="34"/>
      <c r="J34" s="2" t="s">
        <v>44</v>
      </c>
      <c r="K34" s="2"/>
      <c r="L34" s="2"/>
    </row>
    <row r="35" spans="3:12" x14ac:dyDescent="0.45">
      <c r="C35" s="35"/>
      <c r="D35" s="1"/>
      <c r="E35" s="1"/>
      <c r="F35" s="34"/>
      <c r="J35" s="2"/>
      <c r="K35" s="2"/>
      <c r="L35" s="2"/>
    </row>
    <row r="36" spans="3:12" x14ac:dyDescent="0.45">
      <c r="C36" s="43" t="s">
        <v>21</v>
      </c>
      <c r="D36" s="39">
        <v>3</v>
      </c>
      <c r="E36" s="30" t="s">
        <v>22</v>
      </c>
      <c r="F36" s="34"/>
      <c r="J36" s="2"/>
      <c r="K36" s="2"/>
      <c r="L36" s="2"/>
    </row>
    <row r="37" spans="3:12" x14ac:dyDescent="0.45">
      <c r="C37" s="43" t="s">
        <v>20</v>
      </c>
      <c r="D37" s="39">
        <v>15</v>
      </c>
      <c r="E37" s="30" t="s">
        <v>18</v>
      </c>
      <c r="F37" s="34"/>
      <c r="J37" s="2"/>
      <c r="K37" s="2"/>
      <c r="L37" s="2"/>
    </row>
    <row r="38" spans="3:12" x14ac:dyDescent="0.45">
      <c r="C38" s="43" t="s">
        <v>19</v>
      </c>
      <c r="D38">
        <v>25</v>
      </c>
      <c r="E38" s="30" t="s">
        <v>18</v>
      </c>
      <c r="F38" s="40"/>
    </row>
    <row r="39" spans="3:12" x14ac:dyDescent="0.45">
      <c r="C39" s="36"/>
      <c r="D39" s="21"/>
      <c r="E39" s="21"/>
      <c r="F39" s="37"/>
    </row>
  </sheetData>
  <mergeCells count="14">
    <mergeCell ref="D31:F31"/>
    <mergeCell ref="D32:F32"/>
    <mergeCell ref="D33:F33"/>
    <mergeCell ref="C3:D3"/>
    <mergeCell ref="V3:Y3"/>
    <mergeCell ref="Z3:AC3"/>
    <mergeCell ref="C2:D2"/>
    <mergeCell ref="D30:F30"/>
    <mergeCell ref="AI3:AL3"/>
    <mergeCell ref="AM3:AP3"/>
    <mergeCell ref="I3:L3"/>
    <mergeCell ref="M3:P3"/>
    <mergeCell ref="Q3:T3"/>
    <mergeCell ref="AD3:AG3"/>
  </mergeCells>
  <phoneticPr fontId="2" type="noConversion"/>
  <conditionalFormatting sqref="E8:E26">
    <cfRule type="dataBar" priority="6">
      <dataBar>
        <cfvo type="num" val="0"/>
        <cfvo type="num" val="1"/>
        <color theme="8" tint="0.59999389629810485"/>
      </dataBar>
      <extLst>
        <ext xmlns:x14="http://schemas.microsoft.com/office/spreadsheetml/2009/9/main" uri="{B025F937-C7B1-47D3-B67F-A62EFF666E3E}">
          <x14:id>{DE3F0091-12B0-43CE-984E-4536443BEE46}</x14:id>
        </ext>
      </extLst>
    </cfRule>
  </conditionalFormatting>
  <conditionalFormatting sqref="H8:AP8 I9:AP11 I9:I26 I13:V26 Y13:AD26 AG13:AL26 AO13:AP26">
    <cfRule type="expression" dxfId="2" priority="10">
      <formula>AND(H$5&gt;=$F8,H$5&lt;=$G8)</formula>
    </cfRule>
  </conditionalFormatting>
  <conditionalFormatting sqref="H8:AP8 I9:AP26 I5:AQ7 AQ8:AQ26">
    <cfRule type="expression" dxfId="1" priority="13">
      <formula>AND(H$5&lt;=TODAY(), (I$5-7)&lt;=TODAY(),I$5&gt;=TODAY())</formula>
    </cfRule>
  </conditionalFormatting>
  <conditionalFormatting sqref="I8:P11 I9:I26">
    <cfRule type="expression" dxfId="0" priority="1">
      <formula>1*AND(I$5&gt;=task_start,I$5&lt;=task_start+(task_progress*(task_end-task_start+1))-1)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E3F0091-12B0-43CE-984E-4536443BEE46}">
            <x14:dataBar minLength="0" maxLength="100" border="1" gradient="0">
              <x14:cfvo type="num">
                <xm:f>0</xm:f>
              </x14:cfvo>
              <x14:cfvo type="num">
                <xm:f>1</xm:f>
              </x14:cfvo>
              <x14:borderColor theme="0"/>
              <x14:negativeFillColor rgb="FFFF0000"/>
              <x14:axisColor rgb="FF000000"/>
            </x14:dataBar>
          </x14:cfRule>
          <xm:sqref>E8:E26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3</vt:i4>
      </vt:variant>
    </vt:vector>
  </HeadingPairs>
  <TitlesOfParts>
    <vt:vector size="4" baseType="lpstr">
      <vt:lpstr>Sheet1</vt:lpstr>
      <vt:lpstr>Sheet1!task_end</vt:lpstr>
      <vt:lpstr>Sheet1!task_progress</vt:lpstr>
      <vt:lpstr>Sheet1!task_start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Canali</dc:creator>
  <cp:lastModifiedBy>Guerini Tommaso_5BINF</cp:lastModifiedBy>
  <dcterms:created xsi:type="dcterms:W3CDTF">2025-10-22T05:40:21Z</dcterms:created>
  <dcterms:modified xsi:type="dcterms:W3CDTF">2026-03-28T09:53:01Z</dcterms:modified>
</cp:coreProperties>
</file>