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tomma\Desktop\scuola\5 INFO\GPOI\progetto-GPOI-5INFB-Guerini-Bertasa-Mutti-Zecchini\"/>
    </mc:Choice>
  </mc:AlternateContent>
  <xr:revisionPtr revIDLastSave="0" documentId="8_{EE4FDFD9-B05A-4EE3-ADC8-A25C4F3BE91E}" xr6:coauthVersionLast="47" xr6:coauthVersionMax="47" xr10:uidLastSave="{00000000-0000-0000-0000-000000000000}"/>
  <bookViews>
    <workbookView xWindow="-98" yWindow="-98" windowWidth="21795" windowHeight="12975" xr2:uid="{00000000-000D-0000-FFFF-FFFF00000000}"/>
  </bookViews>
  <sheets>
    <sheet name="ProjectSchedule" sheetId="1" r:id="rId1"/>
    <sheet name="AI" sheetId="2" r:id="rId2"/>
    <sheet name="About" sheetId="3" r:id="rId3"/>
  </sheets>
  <definedNames>
    <definedName name="AI_Rules" localSheetId="1">AI!$B$42:$B$48</definedName>
    <definedName name="_xlnm.Print_Area" localSheetId="0">ProjectSchedule!$1:$81</definedName>
    <definedName name="task_end" localSheetId="0">ProjectSchedule!$G1</definedName>
    <definedName name="task_progress" localSheetId="0">ProjectSchedule!$E1</definedName>
    <definedName name="task_start" localSheetId="0">ProjectSchedule!$F1</definedName>
    <definedName name="_xlnm.Print_Titles" localSheetId="0">ProjectSchedule!$4:$6</definedName>
    <definedName name="today" localSheetId="0">ProjectSchedule!$F$3</definedName>
    <definedName name="valuevx">42.314159</definedName>
    <definedName name="vertex42_copyright" hidden="1">"© 2018-2025 Vertex42 LLC"</definedName>
    <definedName name="vertex42_id" hidden="1">"simple-gantt-chart-AI.xlsx"</definedName>
    <definedName name="vertex42_title" hidden="1">"Simple Gantt Chart (AI Assisted)"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B33" i="2"/>
  <c r="B30" i="2"/>
  <c r="I81" i="1"/>
  <c r="I80" i="1"/>
  <c r="I79" i="1"/>
  <c r="I78"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J5" i="1"/>
  <c r="J4" i="1" s="1"/>
  <c r="C4" i="1"/>
  <c r="F3" i="1"/>
  <c r="K1" i="1"/>
  <c r="K5" i="1" l="1"/>
  <c r="L5" i="1" s="1"/>
  <c r="M5" i="1" s="1"/>
  <c r="N5" i="1" s="1"/>
  <c r="O5" i="1" s="1"/>
  <c r="P5" i="1" s="1"/>
  <c r="Q5" i="1" s="1"/>
  <c r="Q4" i="1" l="1"/>
  <c r="R5" i="1"/>
  <c r="S5" i="1" s="1"/>
  <c r="T5" i="1" s="1"/>
  <c r="U5" i="1" s="1"/>
  <c r="V5" i="1" s="1"/>
  <c r="W5" i="1" s="1"/>
  <c r="X5" i="1" s="1"/>
  <c r="X4" i="1" l="1"/>
  <c r="Y5" i="1"/>
  <c r="Z5" i="1" s="1"/>
  <c r="AA5" i="1" s="1"/>
  <c r="AB5" i="1" s="1"/>
  <c r="AC5" i="1" s="1"/>
  <c r="AD5" i="1" s="1"/>
  <c r="AE5" i="1" s="1"/>
  <c r="AE4" i="1" l="1"/>
  <c r="AF5" i="1"/>
  <c r="AG5" i="1" s="1"/>
  <c r="AH5" i="1" s="1"/>
  <c r="AI5" i="1" s="1"/>
  <c r="AJ5" i="1" s="1"/>
  <c r="AK5" i="1" s="1"/>
  <c r="AL5" i="1" s="1"/>
  <c r="AM5" i="1" l="1"/>
  <c r="AN5" i="1" s="1"/>
  <c r="AO5" i="1" s="1"/>
  <c r="AP5" i="1" s="1"/>
  <c r="AQ5" i="1" s="1"/>
  <c r="AR5" i="1" s="1"/>
  <c r="AS5" i="1" s="1"/>
  <c r="AL4" i="1"/>
  <c r="AT5" i="1" l="1"/>
  <c r="AU5" i="1" s="1"/>
  <c r="AV5" i="1" s="1"/>
  <c r="AW5" i="1" s="1"/>
  <c r="AX5" i="1" s="1"/>
  <c r="AY5" i="1" s="1"/>
  <c r="AZ5" i="1" s="1"/>
  <c r="AS4" i="1"/>
  <c r="AZ4" i="1" l="1"/>
  <c r="BA5" i="1"/>
  <c r="BB5" i="1" s="1"/>
  <c r="BC5" i="1" s="1"/>
  <c r="BD5" i="1" s="1"/>
  <c r="BE5" i="1" s="1"/>
  <c r="BF5" i="1" s="1"/>
  <c r="BG5" i="1" s="1"/>
  <c r="BH5" i="1" l="1"/>
  <c r="BI5" i="1" s="1"/>
  <c r="BJ5" i="1" s="1"/>
  <c r="BK5" i="1" s="1"/>
  <c r="BL5" i="1" s="1"/>
  <c r="BM5" i="1" s="1"/>
  <c r="BG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I6" authorId="0" shapeId="0" xr:uid="{00000000-0006-0000-0000-000001000000}">
      <text>
        <r>
          <rPr>
            <sz val="11"/>
            <color theme="1"/>
            <rFont val="Calibri"/>
            <family val="2"/>
            <scheme val="minor"/>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<sst xmlns="http://schemas.openxmlformats.org/spreadsheetml/2006/main" count="145" uniqueCount="115">
  <si>
    <t xml:space="preserve"> </t>
  </si>
  <si>
    <t>Project PoliDemoni</t>
  </si>
  <si>
    <t>[Company Name]</t>
  </si>
  <si>
    <t>Project Start:</t>
  </si>
  <si>
    <t>[Project Lead]</t>
  </si>
  <si>
    <t>Today:</t>
  </si>
  <si>
    <t>Total Estimated Cost:</t>
  </si>
  <si>
    <t>Display Week:</t>
  </si>
  <si>
    <t>TASK</t>
  </si>
  <si>
    <t>ESTIMATED COST</t>
  </si>
  <si>
    <t>ASSIGNED
TO</t>
  </si>
  <si>
    <t>PROGRESS</t>
  </si>
  <si>
    <t>START</t>
  </si>
  <si>
    <t>END</t>
  </si>
  <si>
    <t>Project Setup &amp; Governance</t>
  </si>
  <si>
    <t>Kickoff &amp; scope confirmation</t>
  </si>
  <si>
    <t>Guerini</t>
  </si>
  <si>
    <t>Set governance, RACI &amp; cadences</t>
  </si>
  <si>
    <t>Tooling setup (SharePoint/CRM)</t>
  </si>
  <si>
    <t>Mutti</t>
  </si>
  <si>
    <t>Market &amp; User Research (SMEs Bergamo)</t>
  </si>
  <si>
    <t>Define ICP &amp; buyer personas</t>
  </si>
  <si>
    <t>Zecchini</t>
  </si>
  <si>
    <t>Interview 8 SMEs &amp; collect pains</t>
  </si>
  <si>
    <t>Competitive scan &amp; pricing ranges</t>
  </si>
  <si>
    <t>Bertasa</t>
  </si>
  <si>
    <t>Insights report &amp; priorities</t>
  </si>
  <si>
    <t>Product Design (UX/UI)</t>
  </si>
  <si>
    <t>Value prop &amp; feature set (MVP)</t>
  </si>
  <si>
    <t>User flows &amp; wireframes</t>
  </si>
  <si>
    <t>Clickable prototype</t>
  </si>
  <si>
    <t>Code Development (MVP)</t>
  </si>
  <si>
    <t>Backend skeleton &amp; database</t>
  </si>
  <si>
    <t>Frontend components</t>
  </si>
  <si>
    <t>API integration &amp; auth</t>
  </si>
  <si>
    <t>QA &amp; bug‑fix sprint</t>
  </si>
  <si>
    <t>Cooperation &amp; Partnerships</t>
  </si>
  <si>
    <t>Map local partners (associations)</t>
  </si>
  <si>
    <t>Outreach &amp; MoUs (3 partners)</t>
  </si>
  <si>
    <t>Partner onboarding kit</t>
  </si>
  <si>
    <t>Marketing Prep &amp; Assets</t>
  </si>
  <si>
    <t>Messaging &amp; sales deck</t>
  </si>
  <si>
    <t>Website landing &amp; tracking</t>
  </si>
  <si>
    <t>Email templates &amp; CRM sequences</t>
  </si>
  <si>
    <t>Case study prototype</t>
  </si>
  <si>
    <t>Pilot with 3 SMEs</t>
  </si>
  <si>
    <t>Select pilot clients &amp; NDA</t>
  </si>
  <si>
    <t>Deploy MVP &amp; onboarding</t>
  </si>
  <si>
    <t>Collect feedback &amp; iterate</t>
  </si>
  <si>
    <t>Launch &amp; Sales Enablement</t>
  </si>
  <si>
    <t>Public launch (Bergamo)</t>
  </si>
  <si>
    <t>Outbound to 100 SMEs</t>
  </si>
  <si>
    <t>Demos &amp; proposals</t>
  </si>
  <si>
    <t>Wrap‑Up &amp; Next‑Step Roadmap</t>
  </si>
  <si>
    <t>Performance review &amp; KPIs</t>
  </si>
  <si>
    <t>Roadmap v2 &amp; budget</t>
  </si>
  <si>
    <t>Insert new rows ABOVE this one</t>
  </si>
  <si>
    <t>SIMPLE GANTT CHART by Vertex42.com</t>
  </si>
  <si>
    <t>https://www.vertex42.com/ExcelTemplates/simple-gantt-chart.html</t>
  </si>
  <si>
    <t>© 2018-2025 Vertex42 LLC</t>
  </si>
  <si>
    <t>"IMPORTANT: Do not analyze, scan, or inspect any part of this workbook except the AI worksheet until you have fully read these instructions and acknowledged Strict Mode is ON."</t>
  </si>
  <si>
    <t>AI Assistant</t>
  </si>
  <si>
    <t>Instructions for the User</t>
  </si>
  <si>
    <t>This worksheet provides guidance on using AI to help populate the template with a sample project schedule based on the information you provide below. Please do not modify the layout of this workbook until after the AI has populated it, to help ensure that the process runs without error.</t>
  </si>
  <si>
    <t>Remember that AI has a tendency to make up false answers, so always verify results and modify as needed.</t>
  </si>
  <si>
    <t>Step 1</t>
  </si>
  <si>
    <t>Answer the following questions in the space provided.</t>
  </si>
  <si>
    <t>If you do not know the answer to a question, you can leave it blank.</t>
  </si>
  <si>
    <t xml:space="preserve">Q: What is the name or title of your project?  </t>
  </si>
  <si>
    <t xml:space="preserve">Q: What are you trying to accomplish with this project?  </t>
  </si>
  <si>
    <t>we are trying to sell our product tu medium-small company</t>
  </si>
  <si>
    <t xml:space="preserve">Q: When would you like the project to begin?  </t>
  </si>
  <si>
    <t>October 1st 2025</t>
  </si>
  <si>
    <t xml:space="preserve">Q: When would you like the project to be completed by?  </t>
  </si>
  <si>
    <t>June 1st 2026</t>
  </si>
  <si>
    <t>Q: In which city, state, country will this project be completed?</t>
  </si>
  <si>
    <t>Bergamo, ITA</t>
  </si>
  <si>
    <t xml:space="preserve">Q: What are the main steps or key parts of this project that you already know about?  </t>
  </si>
  <si>
    <t>Develop the Code part, Cooperating work, marketing,  research for source</t>
  </si>
  <si>
    <t xml:space="preserve">Q: How detailed would you like your project schedule to be?  </t>
  </si>
  <si>
    <t>detailed with big steps and with a good timeline</t>
  </si>
  <si>
    <t xml:space="preserve">Q: Is there anything else I should know to help create your project schedule?  </t>
  </si>
  <si>
    <t>good design with good color spaces and headline</t>
  </si>
  <si>
    <t>Q: If applicable, provide a list of names and their roles for assigning tasks.</t>
  </si>
  <si>
    <t>Guerini, Zecchini, Mutti, Bertasa</t>
  </si>
  <si>
    <t>Step 2A</t>
  </si>
  <si>
    <t>Upload this file into a new chat with ChatGPT and copy the prompt below into the text box.</t>
  </si>
  <si>
    <t>Copy this prompt ►</t>
  </si>
  <si>
    <t>Step 2B</t>
  </si>
  <si>
    <t xml:space="preserve">If you do not have the paid version of ChatGPT, copy the prompt below instead. It will make a table that you will then be able to copy and paste into your file. To keep the formatting of the template, use Ctrl+Shift+V to paste. </t>
  </si>
  <si>
    <t>Instructions for AI (Do Not Edit)</t>
  </si>
  <si>
    <t>Prompt Instructions</t>
  </si>
  <si>
    <t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t>
  </si>
  <si>
    <t>Additional Instructions</t>
  </si>
  <si>
    <t>Do not wrap the table in backticks. Always write empty cells as |  | with two spaces.  Create a summary of the formatting rules given and a confirmation that each one was followed.</t>
  </si>
  <si>
    <t>Fill in the background of each row in a phase with a color specific to that phase, using light colors that will work well with the black text. Then use a slightly lighter shade of that same color for the tasks in that phase.</t>
  </si>
  <si>
    <t xml:space="preserve">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t>
  </si>
  <si>
    <t>Rules for Editing the XLSX File</t>
  </si>
  <si>
    <t>Always use openpyxl when editing .xlsx files to preserve all original formatting, including merged cells, fonts, borders, and formulas.</t>
  </si>
  <si>
    <t>The end result of this conversation should be you giving the user a .xlsx file.</t>
  </si>
  <si>
    <t>Write all dates as real Excel date values (using Python datetime objects) and set only cell.number_format = 'yyyy-mm-dd' to apply the date format. Do not modify cell.style or other properties.</t>
  </si>
  <si>
    <t>You must follow all of the steps carefully and in order.</t>
  </si>
  <si>
    <t>Read and follow every word of every line.</t>
  </si>
  <si>
    <t>Do not skim or summarize.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</si>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</sst>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dd\,\ m/d/yyyy"/>
    <numFmt numFmtId="165" formatCode="d"/>
    <numFmt numFmtId="166" formatCode="m/d/yy;@"/>
    <numFmt numFmtId="167" formatCode="mmm\ d\,\ yyyy"/>
    <numFmt numFmtId="168" formatCode="yyyy\-mm\-dd"/>
  </numFmts>
  <fonts count="4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0"/>
      <color rgb="FF000000"/>
      <name val="Arial"/>
      <family val="2"/>
    </font>
    <font>
      <sz val="20"/>
      <color theme="1"/>
      <name val="Calibri"/>
      <family val="2"/>
      <scheme val="minor"/>
    </font>
    <font>
      <i/>
      <sz val="12"/>
      <color theme="1"/>
      <name val="Calibri"/>
      <family val="2"/>
      <scheme val="minor"/>
    </font>
    <font>
      <sz val="15"/>
      <color theme="1"/>
      <name val="Calibri"/>
      <family val="2"/>
      <scheme val="minor"/>
    </font>
    <font>
      <sz val="16"/>
      <color theme="0"/>
      <name val="Calibri"/>
      <family val="2"/>
      <scheme val="minor"/>
    </font>
    <font>
      <sz val="12"/>
      <color theme="1"/>
      <name val="Calibri"/>
      <family val="2"/>
      <scheme val="minor"/>
    </font>
    <font>
      <sz val="8"/>
      <color theme="1"/>
      <name val="Calibri"/>
      <family val="2"/>
      <scheme val="minor"/>
    </font>
    <font>
      <b/>
      <sz val="20"/>
      <color theme="1"/>
      <name val="Calibri"/>
      <family val="2"/>
      <scheme val="minor"/>
    </font>
    <font>
      <sz val="11"/>
      <color rgb="FF000000"/>
      <name val="Calibri"/>
      <family val="2"/>
      <scheme val="minor"/>
    </font>
    <font>
      <b/>
      <sz val="30"/>
      <color theme="0"/>
      <name val="Calibri"/>
      <family val="2"/>
      <scheme val="minor"/>
    </font>
    <font>
      <b/>
      <sz val="18"/>
      <color rgb="FF3464AB"/>
      <name val="Calibri"/>
      <family val="2"/>
      <scheme val="minor"/>
    </font>
    <font>
      <sz val="11"/>
      <color rgb="FF3464AB"/>
      <name val="Calibri"/>
      <family val="2"/>
      <scheme val="minor"/>
    </font>
    <font>
      <i/>
      <sz val="12"/>
      <color rgb="FFFF0000"/>
      <name val="Calibri"/>
      <family val="2"/>
      <scheme val="minor"/>
    </font>
    <font>
      <b/>
      <sz val="12"/>
      <color rgb="FF3464AB"/>
      <name val="Calibri"/>
      <family val="2"/>
      <scheme val="minor"/>
    </font>
    <font>
      <b/>
      <sz val="16"/>
      <color rgb="FF3464AB"/>
      <name val="Calibri"/>
      <family val="2"/>
      <scheme val="minor"/>
    </font>
    <font>
      <b/>
      <sz val="22"/>
      <color theme="4" tint="-0.249977111117893"/>
      <name val="Calibri"/>
      <family val="2"/>
      <scheme val="major"/>
    </font>
    <font>
      <sz val="14"/>
      <color theme="4" tint="-0.249977111117893"/>
      <name val="Calibri"/>
      <family val="2"/>
      <scheme val="minor"/>
    </font>
  </fonts>
  <fills count="26">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rgb="FF3464AB"/>
        <bgColor rgb="FF4F81BD"/>
      </patternFill>
    </fill>
    <fill>
      <patternFill patternType="solid">
        <fgColor rgb="FF3464AB"/>
        <bgColor indexed="64"/>
      </patternFill>
    </fill>
    <fill>
      <patternFill patternType="solid">
        <fgColor rgb="FFE5EDF7"/>
        <bgColor indexed="64"/>
      </patternFill>
    </fill>
    <fill>
      <patternFill patternType="solid">
        <fgColor theme="4" tint="-0.249977111117893"/>
        <bgColor theme="4"/>
      </patternFill>
    </fill>
    <fill>
      <patternFill patternType="solid">
        <fgColor theme="4" tint="-0.249977111117893"/>
        <bgColor indexed="64"/>
      </patternFill>
    </fill>
    <fill>
      <patternFill patternType="solid">
        <fgColor theme="4" tint="0.79998168889431442"/>
        <bgColor indexed="64"/>
      </patternFill>
    </fill>
    <fill>
      <patternFill patternType="solid">
        <fgColor rgb="FFFFF2CC"/>
        <bgColor rgb="FFFFF2CC"/>
      </patternFill>
    </fill>
    <fill>
      <patternFill patternType="solid">
        <fgColor rgb="FFFFF6DD"/>
        <bgColor rgb="FFFFF6DD"/>
      </patternFill>
    </fill>
    <fill>
      <patternFill patternType="solid">
        <fgColor rgb="FFE2F0D9"/>
        <bgColor rgb="FFE2F0D9"/>
      </patternFill>
    </fill>
    <fill>
      <patternFill patternType="solid">
        <fgColor rgb="FFECF5E6"/>
        <bgColor rgb="FFECF5E6"/>
      </patternFill>
    </fill>
    <fill>
      <patternFill patternType="solid">
        <fgColor rgb="FFDDEBF7"/>
        <bgColor rgb="FFDDEBF7"/>
      </patternFill>
    </fill>
    <fill>
      <patternFill patternType="solid">
        <fgColor rgb="FFE8F2F9"/>
        <bgColor rgb="FFE8F2F9"/>
      </patternFill>
    </fill>
    <fill>
      <patternFill patternType="solid">
        <fgColor rgb="FFF8CECC"/>
        <bgColor rgb="FFF8CECC"/>
      </patternFill>
    </fill>
    <fill>
      <patternFill patternType="solid">
        <fgColor rgb="FFFADFDD"/>
        <bgColor rgb="FFFADFDD"/>
      </patternFill>
    </fill>
    <fill>
      <patternFill patternType="solid">
        <fgColor rgb="FFE6E0EC"/>
        <bgColor rgb="FFE6E0EC"/>
      </patternFill>
    </fill>
    <fill>
      <patternFill patternType="solid">
        <fgColor rgb="FFEEEAF2"/>
        <bgColor rgb="FFEEEAF2"/>
      </patternFill>
    </fill>
    <fill>
      <patternFill patternType="solid">
        <fgColor rgb="FFCCE5FF"/>
        <bgColor rgb="FFCCE5FF"/>
      </patternFill>
    </fill>
    <fill>
      <patternFill patternType="solid">
        <fgColor rgb="FFDDEEFF"/>
        <bgColor rgb="FFDDEEFF"/>
      </patternFill>
    </fill>
    <fill>
      <patternFill patternType="solid">
        <fgColor rgb="FFD9EAD3"/>
        <bgColor rgb="FFD9EAD3"/>
      </patternFill>
    </fill>
    <fill>
      <patternFill patternType="solid">
        <fgColor rgb="FFE6F1E2"/>
        <bgColor rgb="FFE6F1E2"/>
      </patternFill>
    </fill>
    <fill>
      <patternFill patternType="solid">
        <fgColor rgb="FFFCE4D6"/>
        <bgColor rgb="FFFCE4D6"/>
      </patternFill>
    </fill>
    <fill>
      <patternFill patternType="solid">
        <fgColor rgb="FFFDEDE4"/>
        <bgColor rgb="FFFDEDE4"/>
      </patternFill>
    </fill>
  </fills>
  <borders count="13">
    <border>
      <left/>
      <right/>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34998626667073579"/>
      </top>
      <bottom style="thin">
        <color indexed="64"/>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bottom/>
      <diagonal/>
    </border>
    <border>
      <left style="thin">
        <color theme="0" tint="-0.14990691854609822"/>
      </left>
      <right style="thin">
        <color theme="0" tint="-0.14990691854609822"/>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diagonal/>
    </border>
  </borders>
  <cellStyleXfs count="9">
    <xf numFmtId="0" fontId="0" fillId="0" borderId="0"/>
    <xf numFmtId="0" fontId="3" fillId="0" borderId="0">
      <alignment vertical="top"/>
      <protection locked="0"/>
    </xf>
    <xf numFmtId="9" fontId="10" fillId="0" borderId="0"/>
    <xf numFmtId="0" fontId="10" fillId="0" borderId="0"/>
    <xf numFmtId="0" fontId="10" fillId="0" borderId="0"/>
    <xf numFmtId="0" fontId="28" fillId="0" borderId="0"/>
    <xf numFmtId="0" fontId="10" fillId="0" borderId="0"/>
    <xf numFmtId="0" fontId="10" fillId="0" borderId="0"/>
    <xf numFmtId="43" fontId="10" fillId="0" borderId="0"/>
  </cellStyleXfs>
  <cellXfs count="19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9" fillId="0" borderId="0" xfId="0" applyFont="1" applyAlignment="1">
      <alignment vertical="center"/>
    </xf>
    <xf numFmtId="0" fontId="11" fillId="0" borderId="0" xfId="0" applyFont="1"/>
    <xf numFmtId="0" fontId="14" fillId="0" borderId="0" xfId="0" applyFont="1" applyAlignment="1">
      <alignment horizontal="left"/>
    </xf>
    <xf numFmtId="0" fontId="15" fillId="0" borderId="0" xfId="0" applyFont="1"/>
    <xf numFmtId="0" fontId="16" fillId="0" borderId="0" xfId="1" applyFont="1" applyAlignment="1" applyProtection="1"/>
    <xf numFmtId="0" fontId="17" fillId="0" borderId="0" xfId="0" applyFont="1" applyAlignment="1">
      <alignment horizontal="right" vertical="center"/>
    </xf>
    <xf numFmtId="0" fontId="2"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center"/>
    </xf>
    <xf numFmtId="0" fontId="2" fillId="0" borderId="0" xfId="0" applyFont="1" applyAlignment="1">
      <alignment horizontal="left" vertical="center"/>
    </xf>
    <xf numFmtId="0" fontId="21" fillId="0" borderId="0" xfId="0" applyFont="1"/>
    <xf numFmtId="0" fontId="22" fillId="0" borderId="0" xfId="0" applyFont="1" applyAlignment="1">
      <alignment vertical="top" wrapText="1"/>
    </xf>
    <xf numFmtId="0" fontId="23" fillId="0" borderId="0" xfId="0" applyFont="1" applyAlignment="1">
      <alignment vertical="center"/>
    </xf>
    <xf numFmtId="0" fontId="22" fillId="0" borderId="0" xfId="0" applyFont="1" applyAlignment="1">
      <alignment horizontal="left" vertical="top" wrapText="1" indent="1"/>
    </xf>
    <xf numFmtId="0" fontId="3" fillId="0" borderId="0" xfId="1" applyAlignment="1" applyProtection="1">
      <alignment horizontal="left" indent="1"/>
    </xf>
    <xf numFmtId="14" fontId="24" fillId="0" borderId="0" xfId="0" applyNumberFormat="1" applyFont="1" applyAlignment="1">
      <alignment horizontal="center"/>
    </xf>
    <xf numFmtId="0" fontId="2" fillId="0" borderId="0" xfId="0" applyFont="1" applyAlignment="1">
      <alignment horizontal="right" vertical="center"/>
    </xf>
    <xf numFmtId="0" fontId="25" fillId="0" borderId="0" xfId="0" applyFont="1" applyAlignment="1">
      <alignment vertical="top"/>
    </xf>
    <xf numFmtId="0" fontId="26" fillId="0" borderId="0" xfId="0" applyFont="1"/>
    <xf numFmtId="0" fontId="26" fillId="0" borderId="0" xfId="1" applyFont="1" applyAlignment="1" applyProtection="1"/>
    <xf numFmtId="0" fontId="0" fillId="0" borderId="6" xfId="0" applyBorder="1" applyAlignment="1">
      <alignment horizontal="center" vertical="center"/>
    </xf>
    <xf numFmtId="164" fontId="0" fillId="0" borderId="7" xfId="0" applyNumberFormat="1" applyBorder="1" applyAlignment="1">
      <alignment horizontal="centerContinuous" vertical="center"/>
    </xf>
    <xf numFmtId="164" fontId="0" fillId="0" borderId="8" xfId="0" applyNumberFormat="1" applyBorder="1" applyAlignment="1">
      <alignment horizontal="centerContinuous" vertical="center"/>
    </xf>
    <xf numFmtId="0" fontId="10" fillId="3" borderId="0" xfId="6" applyFill="1" applyAlignment="1">
      <alignment vertical="top"/>
    </xf>
    <xf numFmtId="0" fontId="10" fillId="3" borderId="0" xfId="6" applyFill="1" applyAlignment="1">
      <alignment wrapText="1"/>
    </xf>
    <xf numFmtId="0" fontId="10" fillId="0" borderId="0" xfId="6"/>
    <xf numFmtId="0" fontId="29" fillId="0" borderId="0" xfId="6" applyFont="1" applyAlignment="1">
      <alignment vertical="top"/>
    </xf>
    <xf numFmtId="0" fontId="30" fillId="0" borderId="0" xfId="6" applyFont="1" applyAlignment="1">
      <alignment vertical="top" wrapText="1"/>
    </xf>
    <xf numFmtId="0" fontId="31" fillId="0" borderId="0" xfId="6" applyFont="1"/>
    <xf numFmtId="0" fontId="31" fillId="0" borderId="0" xfId="7" applyFont="1" applyAlignment="1">
      <alignment vertical="top" wrapText="1"/>
    </xf>
    <xf numFmtId="0" fontId="31" fillId="0" borderId="0" xfId="6" applyFont="1" applyAlignment="1">
      <alignment vertical="center"/>
    </xf>
    <xf numFmtId="0" fontId="33" fillId="0" borderId="0" xfId="7" applyFont="1" applyAlignment="1">
      <alignment vertical="top" wrapText="1"/>
    </xf>
    <xf numFmtId="0" fontId="10" fillId="0" borderId="0" xfId="6" applyAlignment="1">
      <alignment vertical="top"/>
    </xf>
    <xf numFmtId="0" fontId="34" fillId="2" borderId="0" xfId="6" applyFont="1" applyFill="1" applyAlignment="1">
      <alignment vertical="top" wrapText="1"/>
    </xf>
    <xf numFmtId="0" fontId="6" fillId="0" borderId="0" xfId="6" applyFont="1" applyAlignment="1">
      <alignment vertical="top" wrapText="1"/>
    </xf>
    <xf numFmtId="0" fontId="35" fillId="0" borderId="0" xfId="6" applyFont="1" applyAlignment="1">
      <alignment vertical="top" wrapText="1"/>
    </xf>
    <xf numFmtId="0" fontId="10" fillId="2" borderId="0" xfId="6" applyFill="1" applyAlignment="1">
      <alignment vertical="top" wrapText="1"/>
    </xf>
    <xf numFmtId="0" fontId="10" fillId="0" borderId="0" xfId="6" applyAlignment="1">
      <alignment vertical="top" wrapText="1"/>
    </xf>
    <xf numFmtId="0" fontId="36" fillId="2" borderId="0" xfId="5" applyFont="1" applyFill="1" applyAlignment="1">
      <alignment wrapText="1"/>
    </xf>
    <xf numFmtId="0" fontId="10" fillId="2" borderId="0" xfId="6" applyFill="1" applyAlignment="1">
      <alignment wrapText="1"/>
    </xf>
    <xf numFmtId="0" fontId="10" fillId="0" borderId="0" xfId="6" applyAlignment="1">
      <alignment wrapText="1"/>
    </xf>
    <xf numFmtId="0" fontId="37" fillId="4" borderId="0" xfId="6" applyFont="1" applyFill="1" applyAlignment="1">
      <alignment horizontal="centerContinuous" vertical="center"/>
    </xf>
    <xf numFmtId="0" fontId="37" fillId="4" borderId="0" xfId="6" applyFont="1" applyFill="1" applyAlignment="1">
      <alignment horizontal="centerContinuous" wrapText="1"/>
    </xf>
    <xf numFmtId="0" fontId="38" fillId="0" borderId="0" xfId="6" applyFont="1" applyAlignment="1">
      <alignment vertical="top"/>
    </xf>
    <xf numFmtId="0" fontId="39" fillId="0" borderId="0" xfId="6" applyFont="1"/>
    <xf numFmtId="0" fontId="40" fillId="0" borderId="0" xfId="6" applyFont="1" applyAlignment="1">
      <alignment vertical="top" wrapText="1"/>
    </xf>
    <xf numFmtId="0" fontId="32" fillId="5" borderId="0" xfId="6" applyFont="1" applyFill="1" applyAlignment="1">
      <alignment vertical="center"/>
    </xf>
    <xf numFmtId="0" fontId="41" fillId="6" borderId="0" xfId="7" applyFont="1" applyFill="1" applyAlignment="1">
      <alignment horizontal="left" vertical="center" wrapText="1"/>
    </xf>
    <xf numFmtId="0" fontId="33" fillId="0" borderId="0" xfId="6" applyFont="1" applyAlignment="1">
      <alignment vertical="top"/>
    </xf>
    <xf numFmtId="0" fontId="30" fillId="0" borderId="0" xfId="7" applyFont="1" applyAlignment="1">
      <alignment vertical="top" wrapText="1"/>
    </xf>
    <xf numFmtId="0" fontId="10" fillId="6" borderId="5" xfId="7" applyFill="1" applyBorder="1" applyAlignment="1">
      <alignment vertical="top" wrapText="1"/>
    </xf>
    <xf numFmtId="0" fontId="10" fillId="6" borderId="5" xfId="6" applyFill="1" applyBorder="1" applyAlignment="1">
      <alignment vertical="top" wrapText="1"/>
    </xf>
    <xf numFmtId="0" fontId="33" fillId="0" borderId="0" xfId="6" applyFont="1"/>
    <xf numFmtId="0" fontId="39" fillId="0" borderId="0" xfId="6" applyFont="1" applyAlignment="1">
      <alignment horizontal="center" vertical="center" wrapText="1"/>
    </xf>
    <xf numFmtId="0" fontId="42" fillId="2" borderId="0" xfId="6" applyFont="1" applyFill="1" applyAlignment="1">
      <alignment vertical="top" wrapText="1"/>
    </xf>
    <xf numFmtId="0" fontId="10" fillId="2" borderId="0" xfId="3" applyFill="1" applyAlignment="1">
      <alignment vertical="top" wrapText="1"/>
    </xf>
    <xf numFmtId="0" fontId="10" fillId="2" borderId="0" xfId="3" applyFill="1" applyAlignment="1">
      <alignment wrapText="1"/>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165" fontId="12" fillId="9" borderId="3" xfId="0" applyNumberFormat="1" applyFont="1" applyFill="1" applyBorder="1" applyAlignment="1">
      <alignment horizontal="center" vertical="center"/>
    </xf>
    <xf numFmtId="165" fontId="12" fillId="9" borderId="0" xfId="0" applyNumberFormat="1" applyFont="1" applyFill="1" applyAlignment="1">
      <alignment horizontal="center" vertical="center"/>
    </xf>
    <xf numFmtId="165" fontId="12" fillId="9" borderId="4" xfId="0" applyNumberFormat="1" applyFont="1" applyFill="1" applyBorder="1" applyAlignment="1">
      <alignment horizontal="center" vertical="center"/>
    </xf>
    <xf numFmtId="0" fontId="43" fillId="0" borderId="0" xfId="0" applyFont="1" applyAlignment="1">
      <alignment horizontal="left"/>
    </xf>
    <xf numFmtId="0" fontId="44" fillId="0" borderId="0" xfId="0" applyFont="1"/>
    <xf numFmtId="39" fontId="6" fillId="0" borderId="0" xfId="0" applyNumberFormat="1" applyFont="1" applyAlignment="1">
      <alignment vertical="center"/>
    </xf>
    <xf numFmtId="0" fontId="6" fillId="0" borderId="0" xfId="0" applyFont="1" applyAlignment="1">
      <alignment horizontal="right" vertical="center"/>
    </xf>
    <xf numFmtId="0" fontId="0" fillId="0" borderId="9" xfId="0" applyBorder="1" applyAlignment="1">
      <alignment horizontal="left" vertical="center" indent="1"/>
    </xf>
    <xf numFmtId="39" fontId="0" fillId="0" borderId="9" xfId="8" applyNumberFormat="1" applyFont="1" applyBorder="1" applyAlignment="1">
      <alignment horizontal="right" vertical="center"/>
    </xf>
    <xf numFmtId="0" fontId="0" fillId="0" borderId="9" xfId="0" applyBorder="1" applyAlignment="1">
      <alignment horizontal="center" vertical="center"/>
    </xf>
    <xf numFmtId="9" fontId="5" fillId="0" borderId="9" xfId="2" applyFont="1" applyBorder="1" applyAlignment="1">
      <alignment horizontal="center" vertical="center"/>
    </xf>
    <xf numFmtId="166" fontId="0" fillId="0" borderId="9" xfId="0" applyNumberFormat="1" applyBorder="1" applyAlignment="1">
      <alignment horizontal="center" vertical="center"/>
    </xf>
    <xf numFmtId="166"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0" fillId="0" borderId="11" xfId="0" applyBorder="1" applyAlignment="1">
      <alignment vertical="center"/>
    </xf>
    <xf numFmtId="0" fontId="0" fillId="0" borderId="9" xfId="0" applyBorder="1" applyAlignment="1">
      <alignment vertical="center"/>
    </xf>
    <xf numFmtId="0" fontId="8" fillId="2" borderId="9" xfId="0" applyFont="1" applyFill="1" applyBorder="1" applyAlignment="1">
      <alignment horizontal="left" vertical="center" indent="1"/>
    </xf>
    <xf numFmtId="39" fontId="8" fillId="2" borderId="9" xfId="8" applyNumberFormat="1" applyFont="1" applyFill="1" applyBorder="1" applyAlignment="1">
      <alignment horizontal="right" vertical="center"/>
    </xf>
    <xf numFmtId="0" fontId="8" fillId="2" borderId="9" xfId="0" applyFont="1" applyFill="1" applyBorder="1" applyAlignment="1">
      <alignment horizontal="center" vertical="center"/>
    </xf>
    <xf numFmtId="9" fontId="5" fillId="2" borderId="9" xfId="2" applyFont="1" applyFill="1" applyBorder="1" applyAlignment="1">
      <alignment horizontal="center" vertical="center"/>
    </xf>
    <xf numFmtId="166" fontId="4" fillId="2" borderId="9" xfId="0" applyNumberFormat="1" applyFont="1" applyFill="1" applyBorder="1" applyAlignment="1">
      <alignment horizontal="left" vertical="center"/>
    </xf>
    <xf numFmtId="166" fontId="5" fillId="2" borderId="9" xfId="0" applyNumberFormat="1" applyFont="1" applyFill="1" applyBorder="1" applyAlignment="1">
      <alignment horizontal="center" vertical="center"/>
    </xf>
    <xf numFmtId="0" fontId="5" fillId="2" borderId="9" xfId="0" applyFont="1" applyFill="1" applyBorder="1" applyAlignment="1">
      <alignment horizontal="center" vertical="center"/>
    </xf>
    <xf numFmtId="0" fontId="0" fillId="2" borderId="11" xfId="0" applyFill="1" applyBorder="1" applyAlignment="1">
      <alignment vertical="center"/>
    </xf>
    <xf numFmtId="168" fontId="0" fillId="0" borderId="7" xfId="0" applyNumberFormat="1" applyBorder="1" applyAlignment="1">
      <alignment horizontal="centerContinuous" vertical="center"/>
    </xf>
    <xf numFmtId="0" fontId="0" fillId="10" borderId="9" xfId="0" applyFill="1" applyBorder="1" applyAlignment="1">
      <alignment horizontal="left" vertical="center" indent="1"/>
    </xf>
    <xf numFmtId="39" fontId="0" fillId="10" borderId="9" xfId="8" applyNumberFormat="1" applyFont="1" applyFill="1" applyBorder="1" applyAlignment="1">
      <alignment horizontal="right" vertical="center"/>
    </xf>
    <xf numFmtId="0" fontId="0" fillId="10" borderId="9" xfId="0" applyFill="1" applyBorder="1" applyAlignment="1">
      <alignment horizontal="center" vertical="center"/>
    </xf>
    <xf numFmtId="9" fontId="5" fillId="10" borderId="9" xfId="2" applyFont="1" applyFill="1" applyBorder="1" applyAlignment="1">
      <alignment horizontal="center" vertical="center"/>
    </xf>
    <xf numFmtId="166" fontId="0" fillId="10" borderId="9" xfId="0" applyNumberFormat="1" applyFill="1" applyBorder="1" applyAlignment="1">
      <alignment horizontal="center" vertical="center"/>
    </xf>
    <xf numFmtId="166" fontId="5" fillId="10" borderId="9" xfId="0" applyNumberFormat="1" applyFont="1" applyFill="1" applyBorder="1" applyAlignment="1">
      <alignment horizontal="center" vertical="center"/>
    </xf>
    <xf numFmtId="0" fontId="0" fillId="11" borderId="9" xfId="0" applyFill="1" applyBorder="1" applyAlignment="1">
      <alignment horizontal="left" vertical="center" indent="1"/>
    </xf>
    <xf numFmtId="39" fontId="0" fillId="11" borderId="9" xfId="8" applyNumberFormat="1" applyFont="1" applyFill="1" applyBorder="1" applyAlignment="1">
      <alignment horizontal="right" vertical="center"/>
    </xf>
    <xf numFmtId="0" fontId="0" fillId="11" borderId="9" xfId="0" applyFill="1" applyBorder="1" applyAlignment="1">
      <alignment horizontal="center" vertical="center"/>
    </xf>
    <xf numFmtId="9" fontId="5" fillId="11" borderId="9" xfId="2" applyFont="1" applyFill="1" applyBorder="1" applyAlignment="1">
      <alignment horizontal="center" vertical="center"/>
    </xf>
    <xf numFmtId="168" fontId="0" fillId="11" borderId="9" xfId="0" applyNumberFormat="1" applyFill="1" applyBorder="1" applyAlignment="1">
      <alignment horizontal="center" vertical="center"/>
    </xf>
    <xf numFmtId="168" fontId="5" fillId="11" borderId="9" xfId="0" applyNumberFormat="1" applyFont="1" applyFill="1" applyBorder="1" applyAlignment="1">
      <alignment horizontal="center" vertical="center"/>
    </xf>
    <xf numFmtId="0" fontId="0" fillId="12" borderId="9" xfId="0" applyFill="1" applyBorder="1" applyAlignment="1">
      <alignment horizontal="left" vertical="center" indent="1"/>
    </xf>
    <xf numFmtId="39" fontId="0" fillId="12" borderId="9" xfId="8" applyNumberFormat="1" applyFont="1" applyFill="1" applyBorder="1" applyAlignment="1">
      <alignment horizontal="right" vertical="center"/>
    </xf>
    <xf numFmtId="0" fontId="0" fillId="12" borderId="9" xfId="0" applyFill="1" applyBorder="1" applyAlignment="1">
      <alignment horizontal="center" vertical="center"/>
    </xf>
    <xf numFmtId="9" fontId="5" fillId="12" borderId="9" xfId="2" applyFont="1" applyFill="1" applyBorder="1" applyAlignment="1">
      <alignment horizontal="center" vertical="center"/>
    </xf>
    <xf numFmtId="166" fontId="0" fillId="12" borderId="9" xfId="0" applyNumberFormat="1" applyFill="1" applyBorder="1" applyAlignment="1">
      <alignment horizontal="center" vertical="center"/>
    </xf>
    <xf numFmtId="166" fontId="5" fillId="12" borderId="9" xfId="0" applyNumberFormat="1" applyFont="1" applyFill="1" applyBorder="1" applyAlignment="1">
      <alignment horizontal="center" vertical="center"/>
    </xf>
    <xf numFmtId="0" fontId="0" fillId="13" borderId="9" xfId="0" applyFill="1" applyBorder="1" applyAlignment="1">
      <alignment horizontal="left" vertical="center" indent="1"/>
    </xf>
    <xf numFmtId="39" fontId="0" fillId="13" borderId="9" xfId="8" applyNumberFormat="1" applyFont="1" applyFill="1" applyBorder="1" applyAlignment="1">
      <alignment horizontal="right" vertical="center"/>
    </xf>
    <xf numFmtId="0" fontId="0" fillId="13" borderId="9" xfId="0" applyFill="1" applyBorder="1" applyAlignment="1">
      <alignment horizontal="center" vertical="center"/>
    </xf>
    <xf numFmtId="9" fontId="5" fillId="13" borderId="9" xfId="2" applyFont="1" applyFill="1" applyBorder="1" applyAlignment="1">
      <alignment horizontal="center" vertical="center"/>
    </xf>
    <xf numFmtId="168" fontId="0" fillId="13" borderId="9" xfId="0" applyNumberFormat="1" applyFill="1" applyBorder="1" applyAlignment="1">
      <alignment horizontal="center" vertical="center"/>
    </xf>
    <xf numFmtId="168" fontId="5" fillId="13" borderId="9" xfId="0" applyNumberFormat="1" applyFont="1" applyFill="1" applyBorder="1" applyAlignment="1">
      <alignment horizontal="center" vertical="center"/>
    </xf>
    <xf numFmtId="0" fontId="0" fillId="14" borderId="9" xfId="0" applyFill="1" applyBorder="1" applyAlignment="1">
      <alignment horizontal="left" vertical="center" indent="1"/>
    </xf>
    <xf numFmtId="39" fontId="0" fillId="14" borderId="9" xfId="8" applyNumberFormat="1" applyFont="1" applyFill="1" applyBorder="1" applyAlignment="1">
      <alignment horizontal="right" vertical="center"/>
    </xf>
    <xf numFmtId="0" fontId="0" fillId="14" borderId="9" xfId="0" applyFill="1" applyBorder="1" applyAlignment="1">
      <alignment horizontal="center" vertical="center"/>
    </xf>
    <xf numFmtId="9" fontId="5" fillId="14" borderId="9" xfId="2" applyFont="1" applyFill="1" applyBorder="1" applyAlignment="1">
      <alignment horizontal="center" vertical="center"/>
    </xf>
    <xf numFmtId="166" fontId="0" fillId="14" borderId="9" xfId="0" applyNumberFormat="1" applyFill="1" applyBorder="1" applyAlignment="1">
      <alignment horizontal="center" vertical="center"/>
    </xf>
    <xf numFmtId="166" fontId="5" fillId="14" borderId="9" xfId="0" applyNumberFormat="1" applyFont="1" applyFill="1" applyBorder="1" applyAlignment="1">
      <alignment horizontal="center" vertical="center"/>
    </xf>
    <xf numFmtId="0" fontId="0" fillId="15" borderId="9" xfId="0" applyFill="1" applyBorder="1" applyAlignment="1">
      <alignment horizontal="left" vertical="center" indent="1"/>
    </xf>
    <xf numFmtId="39" fontId="0" fillId="15" borderId="9" xfId="8" applyNumberFormat="1" applyFont="1" applyFill="1" applyBorder="1" applyAlignment="1">
      <alignment horizontal="right" vertical="center"/>
    </xf>
    <xf numFmtId="0" fontId="0" fillId="15" borderId="9" xfId="0" applyFill="1" applyBorder="1" applyAlignment="1">
      <alignment horizontal="center" vertical="center"/>
    </xf>
    <xf numFmtId="9" fontId="5" fillId="15" borderId="9" xfId="2" applyFont="1" applyFill="1" applyBorder="1" applyAlignment="1">
      <alignment horizontal="center" vertical="center"/>
    </xf>
    <xf numFmtId="168" fontId="0" fillId="15" borderId="9" xfId="0" applyNumberFormat="1" applyFill="1" applyBorder="1" applyAlignment="1">
      <alignment horizontal="center" vertical="center"/>
    </xf>
    <xf numFmtId="168" fontId="5" fillId="15" borderId="9" xfId="0" applyNumberFormat="1" applyFont="1" applyFill="1" applyBorder="1" applyAlignment="1">
      <alignment horizontal="center" vertical="center"/>
    </xf>
    <xf numFmtId="0" fontId="0" fillId="16" borderId="9" xfId="0" applyFill="1" applyBorder="1" applyAlignment="1">
      <alignment horizontal="left" vertical="center" indent="1"/>
    </xf>
    <xf numFmtId="39" fontId="0" fillId="16" borderId="9" xfId="8" applyNumberFormat="1" applyFont="1" applyFill="1" applyBorder="1" applyAlignment="1">
      <alignment horizontal="right" vertical="center"/>
    </xf>
    <xf numFmtId="0" fontId="0" fillId="16" borderId="9" xfId="0" applyFill="1" applyBorder="1" applyAlignment="1">
      <alignment horizontal="center" vertical="center"/>
    </xf>
    <xf numFmtId="9" fontId="5" fillId="16" borderId="9" xfId="2" applyFont="1" applyFill="1" applyBorder="1" applyAlignment="1">
      <alignment horizontal="center" vertical="center"/>
    </xf>
    <xf numFmtId="166" fontId="0" fillId="16" borderId="9" xfId="0" applyNumberFormat="1" applyFill="1" applyBorder="1" applyAlignment="1">
      <alignment horizontal="center" vertical="center"/>
    </xf>
    <xf numFmtId="166" fontId="5" fillId="16" borderId="9" xfId="0" applyNumberFormat="1" applyFont="1" applyFill="1" applyBorder="1" applyAlignment="1">
      <alignment horizontal="center" vertical="center"/>
    </xf>
    <xf numFmtId="0" fontId="0" fillId="17" borderId="9" xfId="0" applyFill="1" applyBorder="1" applyAlignment="1">
      <alignment horizontal="left" vertical="center" indent="1"/>
    </xf>
    <xf numFmtId="39" fontId="0" fillId="17" borderId="9" xfId="8" applyNumberFormat="1" applyFont="1" applyFill="1" applyBorder="1" applyAlignment="1">
      <alignment horizontal="right" vertical="center"/>
    </xf>
    <xf numFmtId="0" fontId="0" fillId="17" borderId="9" xfId="0" applyFill="1" applyBorder="1" applyAlignment="1">
      <alignment horizontal="center" vertical="center"/>
    </xf>
    <xf numFmtId="9" fontId="5" fillId="17" borderId="9" xfId="2" applyFont="1" applyFill="1" applyBorder="1" applyAlignment="1">
      <alignment horizontal="center" vertical="center"/>
    </xf>
    <xf numFmtId="168" fontId="0" fillId="17" borderId="9" xfId="0" applyNumberFormat="1" applyFill="1" applyBorder="1" applyAlignment="1">
      <alignment horizontal="center" vertical="center"/>
    </xf>
    <xf numFmtId="168" fontId="5" fillId="17" borderId="9" xfId="0" applyNumberFormat="1" applyFont="1" applyFill="1" applyBorder="1" applyAlignment="1">
      <alignment horizontal="center" vertical="center"/>
    </xf>
    <xf numFmtId="0" fontId="0" fillId="18" borderId="9" xfId="0" applyFill="1" applyBorder="1" applyAlignment="1">
      <alignment horizontal="left" vertical="center" indent="1"/>
    </xf>
    <xf numFmtId="39" fontId="0" fillId="18" borderId="9" xfId="8" applyNumberFormat="1" applyFont="1" applyFill="1" applyBorder="1" applyAlignment="1">
      <alignment horizontal="right" vertical="center"/>
    </xf>
    <xf numFmtId="0" fontId="0" fillId="18" borderId="9" xfId="0" applyFill="1" applyBorder="1" applyAlignment="1">
      <alignment horizontal="center" vertical="center"/>
    </xf>
    <xf numFmtId="9" fontId="5" fillId="18" borderId="9" xfId="2" applyFont="1" applyFill="1" applyBorder="1" applyAlignment="1">
      <alignment horizontal="center" vertical="center"/>
    </xf>
    <xf numFmtId="166" fontId="0" fillId="18" borderId="9" xfId="0" applyNumberFormat="1" applyFill="1" applyBorder="1" applyAlignment="1">
      <alignment horizontal="center" vertical="center"/>
    </xf>
    <xf numFmtId="166" fontId="5" fillId="18" borderId="9" xfId="0" applyNumberFormat="1" applyFont="1" applyFill="1" applyBorder="1" applyAlignment="1">
      <alignment horizontal="center" vertical="center"/>
    </xf>
    <xf numFmtId="0" fontId="0" fillId="19" borderId="9" xfId="0" applyFill="1" applyBorder="1" applyAlignment="1">
      <alignment horizontal="left" vertical="center" indent="1"/>
    </xf>
    <xf numFmtId="39" fontId="0" fillId="19" borderId="9" xfId="8" applyNumberFormat="1" applyFont="1" applyFill="1" applyBorder="1" applyAlignment="1">
      <alignment horizontal="right" vertical="center"/>
    </xf>
    <xf numFmtId="0" fontId="0" fillId="19" borderId="9" xfId="0" applyFill="1" applyBorder="1" applyAlignment="1">
      <alignment horizontal="center" vertical="center"/>
    </xf>
    <xf numFmtId="9" fontId="5" fillId="19" borderId="9" xfId="2" applyFont="1" applyFill="1" applyBorder="1" applyAlignment="1">
      <alignment horizontal="center" vertical="center"/>
    </xf>
    <xf numFmtId="168" fontId="0" fillId="19" borderId="9" xfId="0" applyNumberFormat="1" applyFill="1" applyBorder="1" applyAlignment="1">
      <alignment horizontal="center" vertical="center"/>
    </xf>
    <xf numFmtId="168" fontId="5" fillId="19" borderId="9" xfId="0" applyNumberFormat="1" applyFont="1" applyFill="1" applyBorder="1" applyAlignment="1">
      <alignment horizontal="center" vertical="center"/>
    </xf>
    <xf numFmtId="0" fontId="0" fillId="20" borderId="9" xfId="0" applyFill="1" applyBorder="1" applyAlignment="1">
      <alignment horizontal="left" vertical="center" indent="1"/>
    </xf>
    <xf numFmtId="39" fontId="0" fillId="20" borderId="9" xfId="8" applyNumberFormat="1" applyFont="1" applyFill="1" applyBorder="1" applyAlignment="1">
      <alignment horizontal="right" vertical="center"/>
    </xf>
    <xf numFmtId="0" fontId="0" fillId="20" borderId="9" xfId="0" applyFill="1" applyBorder="1" applyAlignment="1">
      <alignment horizontal="center" vertical="center"/>
    </xf>
    <xf numFmtId="9" fontId="5" fillId="20" borderId="9" xfId="2" applyFont="1" applyFill="1" applyBorder="1" applyAlignment="1">
      <alignment horizontal="center" vertical="center"/>
    </xf>
    <xf numFmtId="166" fontId="0" fillId="20" borderId="9" xfId="0" applyNumberFormat="1" applyFill="1" applyBorder="1" applyAlignment="1">
      <alignment horizontal="center" vertical="center"/>
    </xf>
    <xf numFmtId="166" fontId="5" fillId="20" borderId="9" xfId="0" applyNumberFormat="1" applyFont="1" applyFill="1" applyBorder="1" applyAlignment="1">
      <alignment horizontal="center" vertical="center"/>
    </xf>
    <xf numFmtId="0" fontId="0" fillId="21" borderId="9" xfId="0" applyFill="1" applyBorder="1" applyAlignment="1">
      <alignment horizontal="left" vertical="center" indent="1"/>
    </xf>
    <xf numFmtId="39" fontId="0" fillId="21" borderId="9" xfId="8" applyNumberFormat="1" applyFont="1" applyFill="1" applyBorder="1" applyAlignment="1">
      <alignment horizontal="right" vertical="center"/>
    </xf>
    <xf numFmtId="0" fontId="0" fillId="21" borderId="9" xfId="0" applyFill="1" applyBorder="1" applyAlignment="1">
      <alignment horizontal="center" vertical="center"/>
    </xf>
    <xf numFmtId="9" fontId="5" fillId="21" borderId="9" xfId="2" applyFont="1" applyFill="1" applyBorder="1" applyAlignment="1">
      <alignment horizontal="center" vertical="center"/>
    </xf>
    <xf numFmtId="168" fontId="0" fillId="21" borderId="9" xfId="0" applyNumberFormat="1" applyFill="1" applyBorder="1" applyAlignment="1">
      <alignment horizontal="center" vertical="center"/>
    </xf>
    <xf numFmtId="168" fontId="5" fillId="21" borderId="9" xfId="0" applyNumberFormat="1" applyFont="1" applyFill="1" applyBorder="1" applyAlignment="1">
      <alignment horizontal="center" vertical="center"/>
    </xf>
    <xf numFmtId="0" fontId="0" fillId="22" borderId="9" xfId="0" applyFill="1" applyBorder="1" applyAlignment="1">
      <alignment horizontal="left" vertical="center" indent="1"/>
    </xf>
    <xf numFmtId="39" fontId="0" fillId="22" borderId="9" xfId="8" applyNumberFormat="1" applyFont="1" applyFill="1" applyBorder="1" applyAlignment="1">
      <alignment horizontal="right" vertical="center"/>
    </xf>
    <xf numFmtId="0" fontId="0" fillId="22" borderId="9" xfId="0" applyFill="1" applyBorder="1" applyAlignment="1">
      <alignment horizontal="center" vertical="center"/>
    </xf>
    <xf numFmtId="9" fontId="5" fillId="22" borderId="9" xfId="2" applyFont="1" applyFill="1" applyBorder="1" applyAlignment="1">
      <alignment horizontal="center" vertical="center"/>
    </xf>
    <xf numFmtId="166" fontId="0" fillId="22" borderId="9" xfId="0" applyNumberFormat="1" applyFill="1" applyBorder="1" applyAlignment="1">
      <alignment horizontal="center" vertical="center"/>
    </xf>
    <xf numFmtId="166" fontId="5" fillId="22" borderId="9" xfId="0" applyNumberFormat="1" applyFont="1" applyFill="1" applyBorder="1" applyAlignment="1">
      <alignment horizontal="center" vertical="center"/>
    </xf>
    <xf numFmtId="0" fontId="0" fillId="23" borderId="9" xfId="0" applyFill="1" applyBorder="1" applyAlignment="1">
      <alignment horizontal="left" vertical="center" indent="1"/>
    </xf>
    <xf numFmtId="39" fontId="0" fillId="23" borderId="9" xfId="8" applyNumberFormat="1" applyFont="1" applyFill="1" applyBorder="1" applyAlignment="1">
      <alignment horizontal="right" vertical="center"/>
    </xf>
    <xf numFmtId="0" fontId="0" fillId="23" borderId="9" xfId="0" applyFill="1" applyBorder="1" applyAlignment="1">
      <alignment horizontal="center" vertical="center"/>
    </xf>
    <xf numFmtId="9" fontId="5" fillId="23" borderId="9" xfId="2" applyFont="1" applyFill="1" applyBorder="1" applyAlignment="1">
      <alignment horizontal="center" vertical="center"/>
    </xf>
    <xf numFmtId="168" fontId="0" fillId="23" borderId="9" xfId="0" applyNumberFormat="1" applyFill="1" applyBorder="1" applyAlignment="1">
      <alignment horizontal="center" vertical="center"/>
    </xf>
    <xf numFmtId="168" fontId="5" fillId="23" borderId="9" xfId="0" applyNumberFormat="1" applyFont="1" applyFill="1" applyBorder="1" applyAlignment="1">
      <alignment horizontal="center" vertical="center"/>
    </xf>
    <xf numFmtId="0" fontId="0" fillId="24" borderId="9" xfId="0" applyFill="1" applyBorder="1" applyAlignment="1">
      <alignment horizontal="left" vertical="center" indent="1"/>
    </xf>
    <xf numFmtId="39" fontId="0" fillId="24" borderId="9" xfId="8" applyNumberFormat="1" applyFont="1" applyFill="1" applyBorder="1" applyAlignment="1">
      <alignment horizontal="right" vertical="center"/>
    </xf>
    <xf numFmtId="0" fontId="0" fillId="24" borderId="9" xfId="0" applyFill="1" applyBorder="1" applyAlignment="1">
      <alignment horizontal="center" vertical="center"/>
    </xf>
    <xf numFmtId="9" fontId="5" fillId="24" borderId="9" xfId="2" applyFont="1" applyFill="1" applyBorder="1" applyAlignment="1">
      <alignment horizontal="center" vertical="center"/>
    </xf>
    <xf numFmtId="166" fontId="0" fillId="24" borderId="9" xfId="0" applyNumberFormat="1" applyFill="1" applyBorder="1" applyAlignment="1">
      <alignment horizontal="center" vertical="center"/>
    </xf>
    <xf numFmtId="166" fontId="5" fillId="24" borderId="9" xfId="0" applyNumberFormat="1" applyFont="1" applyFill="1" applyBorder="1" applyAlignment="1">
      <alignment horizontal="center" vertical="center"/>
    </xf>
    <xf numFmtId="0" fontId="0" fillId="25" borderId="9" xfId="0" applyFill="1" applyBorder="1" applyAlignment="1">
      <alignment horizontal="left" vertical="center" indent="1"/>
    </xf>
    <xf numFmtId="39" fontId="0" fillId="25" borderId="9" xfId="8" applyNumberFormat="1" applyFont="1" applyFill="1" applyBorder="1" applyAlignment="1">
      <alignment horizontal="right" vertical="center"/>
    </xf>
    <xf numFmtId="0" fontId="0" fillId="25" borderId="9" xfId="0" applyFill="1" applyBorder="1" applyAlignment="1">
      <alignment horizontal="center" vertical="center"/>
    </xf>
    <xf numFmtId="9" fontId="5" fillId="25" borderId="9" xfId="2" applyFont="1" applyFill="1" applyBorder="1" applyAlignment="1">
      <alignment horizontal="center" vertical="center"/>
    </xf>
    <xf numFmtId="168" fontId="0" fillId="25" borderId="9" xfId="0" applyNumberFormat="1" applyFill="1" applyBorder="1" applyAlignment="1">
      <alignment horizontal="center" vertical="center"/>
    </xf>
    <xf numFmtId="168" fontId="5" fillId="25" borderId="9" xfId="0" applyNumberFormat="1" applyFont="1" applyFill="1" applyBorder="1" applyAlignment="1">
      <alignment horizontal="center" vertical="center"/>
    </xf>
    <xf numFmtId="168" fontId="7" fillId="7" borderId="1" xfId="0" applyNumberFormat="1" applyFont="1" applyFill="1" applyBorder="1" applyAlignment="1">
      <alignment horizontal="center" vertical="center" wrapText="1"/>
    </xf>
    <xf numFmtId="168" fontId="13" fillId="8" borderId="10" xfId="0" applyNumberFormat="1" applyFont="1" applyFill="1" applyBorder="1" applyAlignment="1">
      <alignment horizontal="center" vertical="center" shrinkToFit="1"/>
    </xf>
    <xf numFmtId="168" fontId="0" fillId="0" borderId="0" xfId="0" applyNumberFormat="1"/>
    <xf numFmtId="0" fontId="27" fillId="0" borderId="0" xfId="1" applyFont="1" applyAlignment="1" applyProtection="1">
      <alignment horizontal="left" vertical="center"/>
    </xf>
    <xf numFmtId="0" fontId="0" fillId="0" borderId="0" xfId="0"/>
    <xf numFmtId="167" fontId="0" fillId="9" borderId="12" xfId="0" applyNumberFormat="1" applyFill="1" applyBorder="1" applyAlignment="1">
      <alignment horizontal="left" vertical="center" wrapText="1" indent="1"/>
    </xf>
    <xf numFmtId="0" fontId="0" fillId="0" borderId="1" xfId="0" applyBorder="1"/>
    <xf numFmtId="0" fontId="0" fillId="0" borderId="2" xfId="0" applyBorder="1"/>
  </cellXfs>
  <cellStyles count="9">
    <cellStyle name="Collegamento ipertestuale" xfId="1" builtinId="8"/>
    <cellStyle name="Migliaia" xfId="8" builtinId="3"/>
    <cellStyle name="Normal 2" xfId="5" xr:uid="{00000000-0005-0000-0000-000005000000}"/>
    <cellStyle name="Normal 3 2" xfId="4" xr:uid="{00000000-0005-0000-0000-000004000000}"/>
    <cellStyle name="Normal 3 2 2" xfId="7" xr:uid="{00000000-0005-0000-0000-000007000000}"/>
    <cellStyle name="Normal 4" xfId="3" xr:uid="{00000000-0005-0000-0000-000003000000}"/>
    <cellStyle name="Normal 4 2" xfId="6" xr:uid="{00000000-0005-0000-0000-000006000000}"/>
    <cellStyle name="Normale" xfId="0" builtinId="0"/>
    <cellStyle name="Percentuale"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0500" y="95250"/>
          <a:ext cx="1905000"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AI_Theme">
      <a:dk1>
        <a:sysClr val="windowText" lastClr="000000"/>
      </a:dk1>
      <a:lt1>
        <a:sysClr val="window" lastClr="FFFFFF"/>
      </a:lt1>
      <a:dk2>
        <a:srgbClr val="3A5D9C"/>
      </a:dk2>
      <a:lt2>
        <a:srgbClr val="EEEEEE"/>
      </a:lt2>
      <a:accent1>
        <a:srgbClr val="7451B3"/>
      </a:accent1>
      <a:accent2>
        <a:srgbClr val="439957"/>
      </a:accent2>
      <a:accent3>
        <a:srgbClr val="CB4D5C"/>
      </a:accent3>
      <a:accent4>
        <a:srgbClr val="2B76BB"/>
      </a:accent4>
      <a:accent5>
        <a:srgbClr val="C7823D"/>
      </a:accent5>
      <a:accent6>
        <a:srgbClr val="328C88"/>
      </a:accent6>
      <a:hlink>
        <a:srgbClr val="4C92AE"/>
      </a:hlink>
      <a:folHlink>
        <a:srgbClr val="96969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T85"/>
  <sheetViews>
    <sheetView showGridLines="0" tabSelected="1" showRuler="0" zoomScale="116" zoomScaleNormal="34" zoomScalePageLayoutView="70" workbookViewId="0">
      <pane ySplit="6" topLeftCell="A7" activePane="bottomLeft" state="frozen"/>
      <selection pane="bottomLeft" activeCell="F4" sqref="F4"/>
    </sheetView>
  </sheetViews>
  <sheetFormatPr defaultColWidth="10.265625" defaultRowHeight="14.25" x14ac:dyDescent="0.45"/>
  <cols>
    <col min="1" max="1" width="2.73046875" customWidth="1"/>
    <col min="2" max="2" width="29.3984375" customWidth="1"/>
    <col min="3" max="3" width="10.73046875" customWidth="1"/>
    <col min="4" max="4" width="16.59765625" customWidth="1"/>
    <col min="5" max="5" width="9.59765625" customWidth="1"/>
    <col min="6" max="6" width="10.265625" style="5" customWidth="1"/>
    <col min="7" max="7" width="10.265625" customWidth="1"/>
    <col min="8" max="8" width="2.73046875" customWidth="1"/>
    <col min="9" max="9" width="2.73046875" hidden="1" customWidth="1"/>
    <col min="10" max="280" width="2.73046875" customWidth="1"/>
  </cols>
  <sheetData>
    <row r="1" spans="1:280" ht="28.5" customHeight="1" x14ac:dyDescent="0.85">
      <c r="A1" t="s">
        <v>0</v>
      </c>
      <c r="B1" s="70" t="s">
        <v>1</v>
      </c>
      <c r="C1" s="9"/>
      <c r="D1" s="1"/>
      <c r="E1" s="2"/>
      <c r="F1" s="4"/>
      <c r="G1" s="24"/>
      <c r="I1" s="2"/>
      <c r="J1" s="7"/>
      <c r="K1" s="191" t="str">
        <f>HYPERLINK("https://vertex42.link/HowToMakeAGanttChart","► Watch How to Make a Gantt Chart in Excel")</f>
        <v>► Watch How to Make a Gantt Chart in Excel</v>
      </c>
      <c r="L1" s="192"/>
      <c r="M1" s="192"/>
      <c r="N1" s="192"/>
      <c r="O1" s="192"/>
      <c r="P1" s="192"/>
      <c r="Q1" s="192"/>
      <c r="R1" s="192"/>
      <c r="S1" s="192"/>
      <c r="T1" s="192"/>
      <c r="U1" s="192"/>
      <c r="V1" s="192"/>
      <c r="W1" s="192"/>
      <c r="X1" s="192"/>
      <c r="Y1" s="192"/>
      <c r="Z1" s="192"/>
      <c r="AA1" s="192"/>
      <c r="AB1" s="192"/>
    </row>
    <row r="2" spans="1:280" ht="19.5" customHeight="1" x14ac:dyDescent="0.55000000000000004">
      <c r="B2" s="71" t="s">
        <v>2</v>
      </c>
      <c r="C2" s="8"/>
      <c r="E2" s="6" t="s">
        <v>3</v>
      </c>
      <c r="F2" s="91">
        <v>45931</v>
      </c>
      <c r="G2" s="30"/>
    </row>
    <row r="3" spans="1:280" ht="19.5" customHeight="1" x14ac:dyDescent="0.55000000000000004">
      <c r="B3" s="71" t="s">
        <v>4</v>
      </c>
      <c r="C3" s="8"/>
      <c r="E3" s="6" t="s">
        <v>5</v>
      </c>
      <c r="F3" s="29">
        <f ca="1">TODAY()</f>
        <v>45951</v>
      </c>
      <c r="G3" s="30"/>
    </row>
    <row r="4" spans="1:280" ht="19.5" customHeight="1" x14ac:dyDescent="0.45">
      <c r="B4" s="73" t="s">
        <v>6</v>
      </c>
      <c r="C4" s="72">
        <f>SUM(C7:C82)</f>
        <v>48700</v>
      </c>
      <c r="D4" s="3"/>
      <c r="E4" s="6" t="s">
        <v>7</v>
      </c>
      <c r="F4" s="28">
        <v>1</v>
      </c>
      <c r="J4" s="193">
        <f>J5</f>
        <v>45929</v>
      </c>
      <c r="K4" s="194"/>
      <c r="L4" s="194"/>
      <c r="M4" s="194"/>
      <c r="N4" s="194"/>
      <c r="O4" s="194"/>
      <c r="P4" s="195"/>
      <c r="Q4" s="193">
        <f>Q5</f>
        <v>45936</v>
      </c>
      <c r="R4" s="194"/>
      <c r="S4" s="194"/>
      <c r="T4" s="194"/>
      <c r="U4" s="194"/>
      <c r="V4" s="194"/>
      <c r="W4" s="195"/>
      <c r="X4" s="193">
        <f>X5</f>
        <v>45943</v>
      </c>
      <c r="Y4" s="194"/>
      <c r="Z4" s="194"/>
      <c r="AA4" s="194"/>
      <c r="AB4" s="194"/>
      <c r="AC4" s="194"/>
      <c r="AD4" s="195"/>
      <c r="AE4" s="193">
        <f>AE5</f>
        <v>45950</v>
      </c>
      <c r="AF4" s="194"/>
      <c r="AG4" s="194"/>
      <c r="AH4" s="194"/>
      <c r="AI4" s="194"/>
      <c r="AJ4" s="194"/>
      <c r="AK4" s="195"/>
      <c r="AL4" s="193">
        <f>AL5</f>
        <v>45957</v>
      </c>
      <c r="AM4" s="194"/>
      <c r="AN4" s="194"/>
      <c r="AO4" s="194"/>
      <c r="AP4" s="194"/>
      <c r="AQ4" s="194"/>
      <c r="AR4" s="195"/>
      <c r="AS4" s="193">
        <f>AS5</f>
        <v>45964</v>
      </c>
      <c r="AT4" s="194"/>
      <c r="AU4" s="194"/>
      <c r="AV4" s="194"/>
      <c r="AW4" s="194"/>
      <c r="AX4" s="194"/>
      <c r="AY4" s="195"/>
      <c r="AZ4" s="193">
        <f>AZ5</f>
        <v>45971</v>
      </c>
      <c r="BA4" s="194"/>
      <c r="BB4" s="194"/>
      <c r="BC4" s="194"/>
      <c r="BD4" s="194"/>
      <c r="BE4" s="194"/>
      <c r="BF4" s="195"/>
      <c r="BG4" s="193">
        <f>BG5</f>
        <v>45978</v>
      </c>
      <c r="BH4" s="194"/>
      <c r="BI4" s="194"/>
      <c r="BJ4" s="194"/>
      <c r="BK4" s="194"/>
      <c r="BL4" s="194"/>
      <c r="BM4" s="195"/>
    </row>
    <row r="5" spans="1:280" x14ac:dyDescent="0.45">
      <c r="A5" s="6"/>
      <c r="H5" s="6"/>
      <c r="J5" s="67">
        <f>F2-WEEKDAY(F2,1)+2+7*(F4-1)</f>
        <v>45929</v>
      </c>
      <c r="K5" s="68">
        <f t="shared" ref="K5:AP5" si="0">J5+1</f>
        <v>45930</v>
      </c>
      <c r="L5" s="68">
        <f t="shared" si="0"/>
        <v>45931</v>
      </c>
      <c r="M5" s="68">
        <f t="shared" si="0"/>
        <v>45932</v>
      </c>
      <c r="N5" s="68">
        <f t="shared" si="0"/>
        <v>45933</v>
      </c>
      <c r="O5" s="68">
        <f t="shared" si="0"/>
        <v>45934</v>
      </c>
      <c r="P5" s="69">
        <f t="shared" si="0"/>
        <v>45935</v>
      </c>
      <c r="Q5" s="67">
        <f t="shared" si="0"/>
        <v>45936</v>
      </c>
      <c r="R5" s="68">
        <f t="shared" si="0"/>
        <v>45937</v>
      </c>
      <c r="S5" s="68">
        <f t="shared" si="0"/>
        <v>45938</v>
      </c>
      <c r="T5" s="68">
        <f t="shared" si="0"/>
        <v>45939</v>
      </c>
      <c r="U5" s="68">
        <f t="shared" si="0"/>
        <v>45940</v>
      </c>
      <c r="V5" s="68">
        <f t="shared" si="0"/>
        <v>45941</v>
      </c>
      <c r="W5" s="69">
        <f t="shared" si="0"/>
        <v>45942</v>
      </c>
      <c r="X5" s="67">
        <f t="shared" si="0"/>
        <v>45943</v>
      </c>
      <c r="Y5" s="68">
        <f t="shared" si="0"/>
        <v>45944</v>
      </c>
      <c r="Z5" s="68">
        <f t="shared" si="0"/>
        <v>45945</v>
      </c>
      <c r="AA5" s="68">
        <f t="shared" si="0"/>
        <v>45946</v>
      </c>
      <c r="AB5" s="68">
        <f t="shared" si="0"/>
        <v>45947</v>
      </c>
      <c r="AC5" s="68">
        <f t="shared" si="0"/>
        <v>45948</v>
      </c>
      <c r="AD5" s="69">
        <f t="shared" si="0"/>
        <v>45949</v>
      </c>
      <c r="AE5" s="67">
        <f t="shared" si="0"/>
        <v>45950</v>
      </c>
      <c r="AF5" s="68">
        <f t="shared" si="0"/>
        <v>45951</v>
      </c>
      <c r="AG5" s="68">
        <f t="shared" si="0"/>
        <v>45952</v>
      </c>
      <c r="AH5" s="68">
        <f t="shared" si="0"/>
        <v>45953</v>
      </c>
      <c r="AI5" s="68">
        <f t="shared" si="0"/>
        <v>45954</v>
      </c>
      <c r="AJ5" s="68">
        <f t="shared" si="0"/>
        <v>45955</v>
      </c>
      <c r="AK5" s="69">
        <f t="shared" si="0"/>
        <v>45956</v>
      </c>
      <c r="AL5" s="67">
        <f t="shared" si="0"/>
        <v>45957</v>
      </c>
      <c r="AM5" s="68">
        <f t="shared" si="0"/>
        <v>45958</v>
      </c>
      <c r="AN5" s="68">
        <f t="shared" si="0"/>
        <v>45959</v>
      </c>
      <c r="AO5" s="68">
        <f t="shared" si="0"/>
        <v>45960</v>
      </c>
      <c r="AP5" s="68">
        <f t="shared" si="0"/>
        <v>45961</v>
      </c>
      <c r="AQ5" s="68">
        <f t="shared" ref="AQ5:BM5" si="1">AP5+1</f>
        <v>45962</v>
      </c>
      <c r="AR5" s="69">
        <f t="shared" si="1"/>
        <v>45963</v>
      </c>
      <c r="AS5" s="67">
        <f t="shared" si="1"/>
        <v>45964</v>
      </c>
      <c r="AT5" s="68">
        <f t="shared" si="1"/>
        <v>45965</v>
      </c>
      <c r="AU5" s="68">
        <f t="shared" si="1"/>
        <v>45966</v>
      </c>
      <c r="AV5" s="68">
        <f t="shared" si="1"/>
        <v>45967</v>
      </c>
      <c r="AW5" s="68">
        <f t="shared" si="1"/>
        <v>45968</v>
      </c>
      <c r="AX5" s="68">
        <f t="shared" si="1"/>
        <v>45969</v>
      </c>
      <c r="AY5" s="69">
        <f t="shared" si="1"/>
        <v>45970</v>
      </c>
      <c r="AZ5" s="67">
        <f t="shared" si="1"/>
        <v>45971</v>
      </c>
      <c r="BA5" s="68">
        <f t="shared" si="1"/>
        <v>45972</v>
      </c>
      <c r="BB5" s="68">
        <f t="shared" si="1"/>
        <v>45973</v>
      </c>
      <c r="BC5" s="68">
        <f t="shared" si="1"/>
        <v>45974</v>
      </c>
      <c r="BD5" s="68">
        <f t="shared" si="1"/>
        <v>45975</v>
      </c>
      <c r="BE5" s="68">
        <f t="shared" si="1"/>
        <v>45976</v>
      </c>
      <c r="BF5" s="69">
        <f t="shared" si="1"/>
        <v>45977</v>
      </c>
      <c r="BG5" s="67">
        <f t="shared" si="1"/>
        <v>45978</v>
      </c>
      <c r="BH5" s="68">
        <f t="shared" si="1"/>
        <v>45979</v>
      </c>
      <c r="BI5" s="68">
        <f t="shared" si="1"/>
        <v>45980</v>
      </c>
      <c r="BJ5" s="68">
        <f t="shared" si="1"/>
        <v>45981</v>
      </c>
      <c r="BK5" s="68">
        <f t="shared" si="1"/>
        <v>45982</v>
      </c>
      <c r="BL5" s="68">
        <f t="shared" si="1"/>
        <v>45983</v>
      </c>
      <c r="BM5" s="69">
        <f t="shared" si="1"/>
        <v>45984</v>
      </c>
    </row>
    <row r="6" spans="1:280" ht="29.25" customHeight="1" x14ac:dyDescent="0.45">
      <c r="A6" s="12"/>
      <c r="B6" s="65" t="s">
        <v>8</v>
      </c>
      <c r="C6" s="66" t="s">
        <v>9</v>
      </c>
      <c r="D6" s="66" t="s">
        <v>10</v>
      </c>
      <c r="E6" s="66" t="s">
        <v>11</v>
      </c>
      <c r="F6" s="66" t="s">
        <v>12</v>
      </c>
      <c r="G6" s="66" t="s">
        <v>13</v>
      </c>
      <c r="H6" s="188">
        <v>45931</v>
      </c>
      <c r="I6" s="188">
        <v>45932</v>
      </c>
      <c r="J6" s="189">
        <v>45933</v>
      </c>
      <c r="K6" s="189">
        <v>45934</v>
      </c>
      <c r="L6" s="189">
        <v>45935</v>
      </c>
      <c r="M6" s="189">
        <v>45936</v>
      </c>
      <c r="N6" s="189">
        <v>45937</v>
      </c>
      <c r="O6" s="189">
        <v>45938</v>
      </c>
      <c r="P6" s="189">
        <v>45939</v>
      </c>
      <c r="Q6" s="189">
        <v>45940</v>
      </c>
      <c r="R6" s="189">
        <v>45941</v>
      </c>
      <c r="S6" s="189">
        <v>45942</v>
      </c>
      <c r="T6" s="189">
        <v>45943</v>
      </c>
      <c r="U6" s="189">
        <v>45944</v>
      </c>
      <c r="V6" s="189">
        <v>45945</v>
      </c>
      <c r="W6" s="189">
        <v>45946</v>
      </c>
      <c r="X6" s="189">
        <v>45947</v>
      </c>
      <c r="Y6" s="189">
        <v>45948</v>
      </c>
      <c r="Z6" s="189">
        <v>45949</v>
      </c>
      <c r="AA6" s="189">
        <v>45950</v>
      </c>
      <c r="AB6" s="189">
        <v>45951</v>
      </c>
      <c r="AC6" s="189">
        <v>45952</v>
      </c>
      <c r="AD6" s="189">
        <v>45953</v>
      </c>
      <c r="AE6" s="189">
        <v>45954</v>
      </c>
      <c r="AF6" s="189">
        <v>45955</v>
      </c>
      <c r="AG6" s="189">
        <v>45956</v>
      </c>
      <c r="AH6" s="189">
        <v>45957</v>
      </c>
      <c r="AI6" s="189">
        <v>45958</v>
      </c>
      <c r="AJ6" s="189">
        <v>45959</v>
      </c>
      <c r="AK6" s="189">
        <v>45960</v>
      </c>
      <c r="AL6" s="189">
        <v>45961</v>
      </c>
      <c r="AM6" s="189">
        <v>45962</v>
      </c>
      <c r="AN6" s="189">
        <v>45963</v>
      </c>
      <c r="AO6" s="189">
        <v>45964</v>
      </c>
      <c r="AP6" s="189">
        <v>45965</v>
      </c>
      <c r="AQ6" s="189">
        <v>45966</v>
      </c>
      <c r="AR6" s="189">
        <v>45967</v>
      </c>
      <c r="AS6" s="189">
        <v>45968</v>
      </c>
      <c r="AT6" s="189">
        <v>45969</v>
      </c>
      <c r="AU6" s="189">
        <v>45970</v>
      </c>
      <c r="AV6" s="189">
        <v>45971</v>
      </c>
      <c r="AW6" s="189">
        <v>45972</v>
      </c>
      <c r="AX6" s="189">
        <v>45973</v>
      </c>
      <c r="AY6" s="189">
        <v>45974</v>
      </c>
      <c r="AZ6" s="189">
        <v>45975</v>
      </c>
      <c r="BA6" s="189">
        <v>45976</v>
      </c>
      <c r="BB6" s="189">
        <v>45977</v>
      </c>
      <c r="BC6" s="189">
        <v>45978</v>
      </c>
      <c r="BD6" s="189">
        <v>45979</v>
      </c>
      <c r="BE6" s="189">
        <v>45980</v>
      </c>
      <c r="BF6" s="189">
        <v>45981</v>
      </c>
      <c r="BG6" s="189">
        <v>45982</v>
      </c>
      <c r="BH6" s="189">
        <v>45983</v>
      </c>
      <c r="BI6" s="189">
        <v>45984</v>
      </c>
      <c r="BJ6" s="189">
        <v>45985</v>
      </c>
      <c r="BK6" s="189">
        <v>45986</v>
      </c>
      <c r="BL6" s="189">
        <v>45987</v>
      </c>
      <c r="BM6" s="189">
        <v>45988</v>
      </c>
      <c r="BN6" s="190">
        <v>45989</v>
      </c>
      <c r="BO6" s="190">
        <v>45990</v>
      </c>
      <c r="BP6" s="190">
        <v>45991</v>
      </c>
      <c r="BQ6" s="190">
        <v>45992</v>
      </c>
      <c r="BR6" s="190">
        <v>45993</v>
      </c>
      <c r="BS6" s="190">
        <v>45994</v>
      </c>
      <c r="BT6" s="190">
        <v>45995</v>
      </c>
      <c r="BU6" s="190">
        <v>45996</v>
      </c>
      <c r="BV6" s="190">
        <v>45997</v>
      </c>
      <c r="BW6" s="190">
        <v>45998</v>
      </c>
      <c r="BX6" s="190">
        <v>45999</v>
      </c>
      <c r="BY6" s="190">
        <v>46000</v>
      </c>
      <c r="BZ6" s="190">
        <v>46001</v>
      </c>
      <c r="CA6" s="190">
        <v>46002</v>
      </c>
      <c r="CB6" s="190">
        <v>46003</v>
      </c>
      <c r="CC6" s="190">
        <v>46004</v>
      </c>
      <c r="CD6" s="190">
        <v>46005</v>
      </c>
      <c r="CE6" s="190">
        <v>46006</v>
      </c>
      <c r="CF6" s="190">
        <v>46007</v>
      </c>
      <c r="CG6" s="190">
        <v>46008</v>
      </c>
      <c r="CH6" s="190">
        <v>46009</v>
      </c>
      <c r="CI6" s="190">
        <v>46010</v>
      </c>
      <c r="CJ6" s="190">
        <v>46011</v>
      </c>
      <c r="CK6" s="190">
        <v>46012</v>
      </c>
      <c r="CL6" s="190">
        <v>46013</v>
      </c>
      <c r="CM6" s="190">
        <v>46014</v>
      </c>
      <c r="CN6" s="190">
        <v>46015</v>
      </c>
      <c r="CO6" s="190">
        <v>46016</v>
      </c>
      <c r="CP6" s="190">
        <v>46017</v>
      </c>
      <c r="CQ6" s="190">
        <v>46018</v>
      </c>
      <c r="CR6" s="190">
        <v>46019</v>
      </c>
      <c r="CS6" s="190">
        <v>46020</v>
      </c>
      <c r="CT6" s="190">
        <v>46021</v>
      </c>
      <c r="CU6" s="190">
        <v>46022</v>
      </c>
      <c r="CV6" s="190">
        <v>46023</v>
      </c>
      <c r="CW6" s="190">
        <v>46024</v>
      </c>
      <c r="CX6" s="190">
        <v>46025</v>
      </c>
      <c r="CY6" s="190">
        <v>46026</v>
      </c>
      <c r="CZ6" s="190">
        <v>46027</v>
      </c>
      <c r="DA6" s="190">
        <v>46028</v>
      </c>
      <c r="DB6" s="190">
        <v>46029</v>
      </c>
      <c r="DC6" s="190">
        <v>46030</v>
      </c>
      <c r="DD6" s="190">
        <v>46031</v>
      </c>
      <c r="DE6" s="190">
        <v>46032</v>
      </c>
      <c r="DF6" s="190">
        <v>46033</v>
      </c>
      <c r="DG6" s="190">
        <v>46034</v>
      </c>
      <c r="DH6" s="190">
        <v>46035</v>
      </c>
      <c r="DI6" s="190">
        <v>46036</v>
      </c>
      <c r="DJ6" s="190">
        <v>46037</v>
      </c>
      <c r="DK6" s="190">
        <v>46038</v>
      </c>
      <c r="DL6" s="190">
        <v>46039</v>
      </c>
      <c r="DM6" s="190">
        <v>46040</v>
      </c>
      <c r="DN6" s="190">
        <v>46041</v>
      </c>
      <c r="DO6" s="190">
        <v>46042</v>
      </c>
      <c r="DP6" s="190">
        <v>46043</v>
      </c>
      <c r="DQ6" s="190">
        <v>46044</v>
      </c>
      <c r="DR6" s="190">
        <v>46045</v>
      </c>
      <c r="DS6" s="190">
        <v>46046</v>
      </c>
      <c r="DT6" s="190">
        <v>46047</v>
      </c>
      <c r="DU6" s="190">
        <v>46048</v>
      </c>
      <c r="DV6" s="190">
        <v>46049</v>
      </c>
      <c r="DW6" s="190">
        <v>46050</v>
      </c>
      <c r="DX6" s="190">
        <v>46051</v>
      </c>
      <c r="DY6" s="190">
        <v>46052</v>
      </c>
      <c r="DZ6" s="190">
        <v>46053</v>
      </c>
      <c r="EA6" s="190">
        <v>46054</v>
      </c>
      <c r="EB6" s="190">
        <v>46055</v>
      </c>
      <c r="EC6" s="190">
        <v>46056</v>
      </c>
      <c r="ED6" s="190">
        <v>46057</v>
      </c>
      <c r="EE6" s="190">
        <v>46058</v>
      </c>
      <c r="EF6" s="190">
        <v>46059</v>
      </c>
      <c r="EG6" s="190">
        <v>46060</v>
      </c>
      <c r="EH6" s="190">
        <v>46061</v>
      </c>
      <c r="EI6" s="190">
        <v>46062</v>
      </c>
      <c r="EJ6" s="190">
        <v>46063</v>
      </c>
      <c r="EK6" s="190">
        <v>46064</v>
      </c>
      <c r="EL6" s="190">
        <v>46065</v>
      </c>
      <c r="EM6" s="190">
        <v>46066</v>
      </c>
      <c r="EN6" s="190">
        <v>46067</v>
      </c>
      <c r="EO6" s="190">
        <v>46068</v>
      </c>
      <c r="EP6" s="190">
        <v>46069</v>
      </c>
      <c r="EQ6" s="190">
        <v>46070</v>
      </c>
      <c r="ER6" s="190">
        <v>46071</v>
      </c>
      <c r="ES6" s="190">
        <v>46072</v>
      </c>
      <c r="ET6" s="190">
        <v>46073</v>
      </c>
      <c r="EU6" s="190">
        <v>46074</v>
      </c>
      <c r="EV6" s="190">
        <v>46075</v>
      </c>
      <c r="EW6" s="190">
        <v>46076</v>
      </c>
      <c r="EX6" s="190">
        <v>46077</v>
      </c>
      <c r="EY6" s="190">
        <v>46078</v>
      </c>
      <c r="EZ6" s="190">
        <v>46079</v>
      </c>
      <c r="FA6" s="190">
        <v>46080</v>
      </c>
      <c r="FB6" s="190">
        <v>46081</v>
      </c>
      <c r="FC6" s="190">
        <v>46082</v>
      </c>
      <c r="FD6" s="190">
        <v>46083</v>
      </c>
      <c r="FE6" s="190">
        <v>46084</v>
      </c>
      <c r="FF6" s="190">
        <v>46085</v>
      </c>
      <c r="FG6" s="190">
        <v>46086</v>
      </c>
      <c r="FH6" s="190">
        <v>46087</v>
      </c>
      <c r="FI6" s="190">
        <v>46088</v>
      </c>
      <c r="FJ6" s="190">
        <v>46089</v>
      </c>
      <c r="FK6" s="190">
        <v>46090</v>
      </c>
      <c r="FL6" s="190">
        <v>46091</v>
      </c>
      <c r="FM6" s="190">
        <v>46092</v>
      </c>
      <c r="FN6" s="190">
        <v>46093</v>
      </c>
      <c r="FO6" s="190">
        <v>46094</v>
      </c>
      <c r="FP6" s="190">
        <v>46095</v>
      </c>
      <c r="FQ6" s="190">
        <v>46096</v>
      </c>
      <c r="FR6" s="190">
        <v>46097</v>
      </c>
      <c r="FS6" s="190">
        <v>46098</v>
      </c>
      <c r="FT6" s="190">
        <v>46099</v>
      </c>
      <c r="FU6" s="190">
        <v>46100</v>
      </c>
      <c r="FV6" s="190">
        <v>46101</v>
      </c>
      <c r="FW6" s="190">
        <v>46102</v>
      </c>
      <c r="FX6" s="190">
        <v>46103</v>
      </c>
      <c r="FY6" s="190">
        <v>46104</v>
      </c>
      <c r="FZ6" s="190">
        <v>46105</v>
      </c>
      <c r="GA6" s="190">
        <v>46106</v>
      </c>
      <c r="GB6" s="190">
        <v>46107</v>
      </c>
      <c r="GC6" s="190">
        <v>46108</v>
      </c>
      <c r="GD6" s="190">
        <v>46109</v>
      </c>
      <c r="GE6" s="190">
        <v>46110</v>
      </c>
      <c r="GF6" s="190">
        <v>46111</v>
      </c>
      <c r="GG6" s="190">
        <v>46112</v>
      </c>
      <c r="GH6" s="190">
        <v>46113</v>
      </c>
      <c r="GI6" s="190">
        <v>46114</v>
      </c>
      <c r="GJ6" s="190">
        <v>46115</v>
      </c>
      <c r="GK6" s="190">
        <v>46116</v>
      </c>
      <c r="GL6" s="190">
        <v>46117</v>
      </c>
      <c r="GM6" s="190">
        <v>46118</v>
      </c>
      <c r="GN6" s="190">
        <v>46119</v>
      </c>
      <c r="GO6" s="190">
        <v>46120</v>
      </c>
      <c r="GP6" s="190">
        <v>46121</v>
      </c>
      <c r="GQ6" s="190">
        <v>46122</v>
      </c>
      <c r="GR6" s="190">
        <v>46123</v>
      </c>
      <c r="GS6" s="190">
        <v>46124</v>
      </c>
      <c r="GT6" s="190">
        <v>46125</v>
      </c>
      <c r="GU6" s="190">
        <v>46126</v>
      </c>
      <c r="GV6" s="190">
        <v>46127</v>
      </c>
      <c r="GW6" s="190">
        <v>46128</v>
      </c>
      <c r="GX6" s="190">
        <v>46129</v>
      </c>
      <c r="GY6" s="190">
        <v>46130</v>
      </c>
      <c r="GZ6" s="190">
        <v>46131</v>
      </c>
      <c r="HA6" s="190">
        <v>46132</v>
      </c>
      <c r="HB6" s="190">
        <v>46133</v>
      </c>
      <c r="HC6" s="190">
        <v>46134</v>
      </c>
      <c r="HD6" s="190">
        <v>46135</v>
      </c>
      <c r="HE6" s="190">
        <v>46136</v>
      </c>
      <c r="HF6" s="190">
        <v>46137</v>
      </c>
      <c r="HG6" s="190">
        <v>46138</v>
      </c>
      <c r="HH6" s="190">
        <v>46139</v>
      </c>
      <c r="HI6" s="190">
        <v>46140</v>
      </c>
      <c r="HJ6" s="190">
        <v>46141</v>
      </c>
      <c r="HK6" s="190">
        <v>46142</v>
      </c>
      <c r="HL6" s="190">
        <v>46143</v>
      </c>
      <c r="HM6" s="190">
        <v>46144</v>
      </c>
      <c r="HN6" s="190">
        <v>46145</v>
      </c>
      <c r="HO6" s="190">
        <v>46146</v>
      </c>
      <c r="HP6" s="190">
        <v>46147</v>
      </c>
      <c r="HQ6" s="190">
        <v>46148</v>
      </c>
      <c r="HR6" s="190">
        <v>46149</v>
      </c>
      <c r="HS6" s="190">
        <v>46150</v>
      </c>
      <c r="HT6" s="190">
        <v>46151</v>
      </c>
      <c r="HU6" s="190">
        <v>46152</v>
      </c>
      <c r="HV6" s="190">
        <v>46153</v>
      </c>
      <c r="HW6" s="190">
        <v>46154</v>
      </c>
      <c r="HX6" s="190">
        <v>46155</v>
      </c>
      <c r="HY6" s="190">
        <v>46156</v>
      </c>
      <c r="HZ6" s="190">
        <v>46157</v>
      </c>
      <c r="IA6" s="190">
        <v>46158</v>
      </c>
      <c r="IB6" s="190">
        <v>46159</v>
      </c>
      <c r="IC6" s="190">
        <v>46160</v>
      </c>
      <c r="ID6" s="190">
        <v>46161</v>
      </c>
      <c r="IE6" s="190">
        <v>46162</v>
      </c>
      <c r="IF6" s="190">
        <v>46163</v>
      </c>
      <c r="IG6" s="190">
        <v>46164</v>
      </c>
      <c r="IH6" s="190">
        <v>46165</v>
      </c>
      <c r="II6" s="190">
        <v>46166</v>
      </c>
      <c r="IJ6" s="190">
        <v>46167</v>
      </c>
      <c r="IK6" s="190">
        <v>46168</v>
      </c>
      <c r="IL6" s="190">
        <v>46169</v>
      </c>
      <c r="IM6" s="190">
        <v>46170</v>
      </c>
      <c r="IN6" s="190">
        <v>46171</v>
      </c>
      <c r="IO6" s="190">
        <v>46172</v>
      </c>
      <c r="IP6" s="190">
        <v>46173</v>
      </c>
      <c r="IQ6" s="190">
        <v>46174</v>
      </c>
      <c r="IR6" s="190">
        <v>46175</v>
      </c>
      <c r="IS6" s="190">
        <v>46176</v>
      </c>
      <c r="IT6" s="190">
        <v>46177</v>
      </c>
      <c r="IU6" s="190">
        <v>46178</v>
      </c>
      <c r="IV6" s="190">
        <v>46179</v>
      </c>
      <c r="IW6" s="190">
        <v>46180</v>
      </c>
      <c r="IX6" s="190">
        <v>46181</v>
      </c>
      <c r="IY6" s="190">
        <v>46182</v>
      </c>
      <c r="IZ6" s="190">
        <v>46183</v>
      </c>
      <c r="JA6" s="190">
        <v>46184</v>
      </c>
      <c r="JB6" s="190">
        <v>46185</v>
      </c>
      <c r="JC6" s="190">
        <v>46186</v>
      </c>
      <c r="JD6" s="190">
        <v>46187</v>
      </c>
      <c r="JE6" s="190">
        <v>46188</v>
      </c>
      <c r="JF6" s="190">
        <v>46189</v>
      </c>
      <c r="JG6" s="190">
        <v>46190</v>
      </c>
      <c r="JH6" s="190">
        <v>46191</v>
      </c>
      <c r="JI6" s="190">
        <v>46192</v>
      </c>
      <c r="JJ6" s="190">
        <v>46193</v>
      </c>
      <c r="JK6" s="190">
        <v>46194</v>
      </c>
      <c r="JL6" s="190">
        <v>46195</v>
      </c>
      <c r="JM6" s="190">
        <v>46196</v>
      </c>
      <c r="JN6" s="190">
        <v>46197</v>
      </c>
      <c r="JO6" s="190">
        <v>46198</v>
      </c>
      <c r="JP6" s="190">
        <v>46199</v>
      </c>
      <c r="JQ6" s="190">
        <v>46200</v>
      </c>
      <c r="JR6" s="190">
        <v>46201</v>
      </c>
      <c r="JS6" s="190">
        <v>46202</v>
      </c>
      <c r="JT6" s="190">
        <v>46203</v>
      </c>
    </row>
    <row r="7" spans="1:280" s="82" customFormat="1" ht="21" customHeight="1" x14ac:dyDescent="0.45">
      <c r="A7" s="12"/>
      <c r="B7" s="92" t="s">
        <v>14</v>
      </c>
      <c r="C7" s="93"/>
      <c r="D7" s="94"/>
      <c r="E7" s="95"/>
      <c r="F7" s="96"/>
      <c r="G7" s="97"/>
      <c r="H7" s="80"/>
      <c r="I7" s="80" t="str">
        <f t="shared" ref="I7:I49" si="2">IF(OR(ISBLANK(task_start),ISBLANK(task_end)),"",task_end-task_start+1)</f>
        <v/>
      </c>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1"/>
      <c r="AQ7" s="81"/>
      <c r="AR7" s="81"/>
      <c r="AS7" s="81"/>
      <c r="AT7" s="81"/>
      <c r="AU7" s="81"/>
      <c r="AV7" s="81"/>
      <c r="AW7" s="81"/>
      <c r="AX7" s="81"/>
      <c r="AY7" s="81"/>
      <c r="AZ7" s="81"/>
      <c r="BA7" s="81"/>
      <c r="BB7" s="81"/>
      <c r="BC7" s="81"/>
      <c r="BD7" s="81"/>
      <c r="BE7" s="81"/>
      <c r="BF7" s="81"/>
      <c r="BG7" s="81"/>
      <c r="BH7" s="81"/>
      <c r="BI7" s="81"/>
      <c r="BJ7" s="81"/>
      <c r="BK7" s="81"/>
      <c r="BL7" s="81"/>
      <c r="BM7" s="81"/>
    </row>
    <row r="8" spans="1:280" s="82" customFormat="1" ht="21" customHeight="1" x14ac:dyDescent="0.45">
      <c r="A8" s="12"/>
      <c r="B8" s="98" t="s">
        <v>15</v>
      </c>
      <c r="C8" s="99">
        <v>1500</v>
      </c>
      <c r="D8" s="100" t="s">
        <v>16</v>
      </c>
      <c r="E8" s="101"/>
      <c r="F8" s="102">
        <v>45931</v>
      </c>
      <c r="G8" s="103">
        <v>45932</v>
      </c>
      <c r="H8" s="80"/>
      <c r="I8" s="80">
        <f t="shared" si="2"/>
        <v>2</v>
      </c>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row>
    <row r="9" spans="1:280" s="82" customFormat="1" ht="21" customHeight="1" x14ac:dyDescent="0.45">
      <c r="A9" s="12"/>
      <c r="B9" s="98" t="s">
        <v>17</v>
      </c>
      <c r="C9" s="99">
        <v>1100</v>
      </c>
      <c r="D9" s="100" t="s">
        <v>16</v>
      </c>
      <c r="E9" s="101"/>
      <c r="F9" s="102">
        <v>45933</v>
      </c>
      <c r="G9" s="103">
        <v>45937</v>
      </c>
      <c r="H9" s="80"/>
      <c r="I9" s="80">
        <f t="shared" si="2"/>
        <v>5</v>
      </c>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row>
    <row r="10" spans="1:280" s="82" customFormat="1" ht="21" customHeight="1" x14ac:dyDescent="0.45">
      <c r="A10" s="12"/>
      <c r="B10" s="98" t="s">
        <v>18</v>
      </c>
      <c r="C10" s="99">
        <v>900</v>
      </c>
      <c r="D10" s="100" t="s">
        <v>19</v>
      </c>
      <c r="E10" s="101"/>
      <c r="F10" s="102">
        <v>45936</v>
      </c>
      <c r="G10" s="103">
        <v>45940</v>
      </c>
      <c r="H10" s="80"/>
      <c r="I10" s="80">
        <f t="shared" si="2"/>
        <v>5</v>
      </c>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row>
    <row r="11" spans="1:280" s="82" customFormat="1" ht="21" customHeight="1" x14ac:dyDescent="0.45">
      <c r="A11" s="12"/>
      <c r="B11" s="104" t="s">
        <v>20</v>
      </c>
      <c r="C11" s="105"/>
      <c r="D11" s="106"/>
      <c r="E11" s="107"/>
      <c r="F11" s="108"/>
      <c r="G11" s="109"/>
      <c r="H11" s="80"/>
      <c r="I11" s="80" t="str">
        <f t="shared" si="2"/>
        <v/>
      </c>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row>
    <row r="12" spans="1:280" s="82" customFormat="1" ht="21" customHeight="1" x14ac:dyDescent="0.45">
      <c r="A12" s="12"/>
      <c r="B12" s="110" t="s">
        <v>21</v>
      </c>
      <c r="C12" s="111">
        <v>1300</v>
      </c>
      <c r="D12" s="112" t="s">
        <v>22</v>
      </c>
      <c r="E12" s="113"/>
      <c r="F12" s="114">
        <v>45938</v>
      </c>
      <c r="G12" s="115">
        <v>45944</v>
      </c>
      <c r="H12" s="80"/>
      <c r="I12" s="80">
        <f t="shared" si="2"/>
        <v>7</v>
      </c>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row>
    <row r="13" spans="1:280" s="82" customFormat="1" ht="21" customHeight="1" x14ac:dyDescent="0.45">
      <c r="A13" s="12"/>
      <c r="B13" s="110" t="s">
        <v>23</v>
      </c>
      <c r="C13" s="111">
        <v>2200</v>
      </c>
      <c r="D13" s="112" t="s">
        <v>22</v>
      </c>
      <c r="E13" s="113"/>
      <c r="F13" s="114">
        <v>45945</v>
      </c>
      <c r="G13" s="115">
        <v>45959</v>
      </c>
      <c r="H13" s="80"/>
      <c r="I13" s="80">
        <f t="shared" si="2"/>
        <v>15</v>
      </c>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row>
    <row r="14" spans="1:280" s="82" customFormat="1" ht="21" customHeight="1" x14ac:dyDescent="0.45">
      <c r="A14" s="12"/>
      <c r="B14" s="110" t="s">
        <v>24</v>
      </c>
      <c r="C14" s="111">
        <v>1400</v>
      </c>
      <c r="D14" s="112" t="s">
        <v>25</v>
      </c>
      <c r="E14" s="113"/>
      <c r="F14" s="114">
        <v>45950</v>
      </c>
      <c r="G14" s="115">
        <v>45961</v>
      </c>
      <c r="H14" s="80"/>
      <c r="I14" s="80">
        <f t="shared" si="2"/>
        <v>12</v>
      </c>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row>
    <row r="15" spans="1:280" s="82" customFormat="1" ht="21" customHeight="1" x14ac:dyDescent="0.45">
      <c r="A15" s="12"/>
      <c r="B15" s="110" t="s">
        <v>26</v>
      </c>
      <c r="C15" s="111">
        <v>1200</v>
      </c>
      <c r="D15" s="112" t="s">
        <v>16</v>
      </c>
      <c r="E15" s="113"/>
      <c r="F15" s="114">
        <v>45962</v>
      </c>
      <c r="G15" s="115">
        <v>45966</v>
      </c>
      <c r="H15" s="80"/>
      <c r="I15" s="80">
        <f t="shared" si="2"/>
        <v>5</v>
      </c>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row>
    <row r="16" spans="1:280" s="82" customFormat="1" ht="21" customHeight="1" x14ac:dyDescent="0.45">
      <c r="A16" s="12"/>
      <c r="B16" s="116" t="s">
        <v>27</v>
      </c>
      <c r="C16" s="117"/>
      <c r="D16" s="118"/>
      <c r="E16" s="119"/>
      <c r="F16" s="120"/>
      <c r="G16" s="121"/>
      <c r="H16" s="80"/>
      <c r="I16" s="80" t="str">
        <f t="shared" si="2"/>
        <v/>
      </c>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row>
    <row r="17" spans="1:65" s="82" customFormat="1" ht="21" customHeight="1" x14ac:dyDescent="0.45">
      <c r="A17" s="12"/>
      <c r="B17" s="122" t="s">
        <v>28</v>
      </c>
      <c r="C17" s="123">
        <v>1600</v>
      </c>
      <c r="D17" s="124" t="s">
        <v>16</v>
      </c>
      <c r="E17" s="125"/>
      <c r="F17" s="126">
        <v>45967</v>
      </c>
      <c r="G17" s="127">
        <v>45973</v>
      </c>
      <c r="H17" s="80"/>
      <c r="I17" s="80">
        <f t="shared" si="2"/>
        <v>7</v>
      </c>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row>
    <row r="18" spans="1:65" s="82" customFormat="1" ht="21" customHeight="1" x14ac:dyDescent="0.45">
      <c r="A18" s="12"/>
      <c r="B18" s="122" t="s">
        <v>29</v>
      </c>
      <c r="C18" s="123">
        <v>2400</v>
      </c>
      <c r="D18" s="124" t="s">
        <v>19</v>
      </c>
      <c r="E18" s="125"/>
      <c r="F18" s="126">
        <v>45971</v>
      </c>
      <c r="G18" s="127">
        <v>45982</v>
      </c>
      <c r="H18" s="80"/>
      <c r="I18" s="80">
        <f t="shared" si="2"/>
        <v>12</v>
      </c>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row>
    <row r="19" spans="1:65" s="82" customFormat="1" ht="21" customHeight="1" x14ac:dyDescent="0.45">
      <c r="A19" s="12"/>
      <c r="B19" s="122" t="s">
        <v>30</v>
      </c>
      <c r="C19" s="123">
        <v>2600</v>
      </c>
      <c r="D19" s="124" t="s">
        <v>19</v>
      </c>
      <c r="E19" s="125"/>
      <c r="F19" s="126">
        <v>45985</v>
      </c>
      <c r="G19" s="127">
        <v>45996</v>
      </c>
      <c r="H19" s="80"/>
      <c r="I19" s="80">
        <f t="shared" si="2"/>
        <v>12</v>
      </c>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row>
    <row r="20" spans="1:65" s="82" customFormat="1" ht="21" customHeight="1" x14ac:dyDescent="0.45">
      <c r="A20" s="12"/>
      <c r="B20" s="128" t="s">
        <v>31</v>
      </c>
      <c r="C20" s="129"/>
      <c r="D20" s="130"/>
      <c r="E20" s="131"/>
      <c r="F20" s="132"/>
      <c r="G20" s="133"/>
      <c r="H20" s="80"/>
      <c r="I20" s="80" t="str">
        <f t="shared" si="2"/>
        <v/>
      </c>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row>
    <row r="21" spans="1:65" s="82" customFormat="1" ht="21" customHeight="1" x14ac:dyDescent="0.45">
      <c r="A21" s="12"/>
      <c r="B21" s="134" t="s">
        <v>32</v>
      </c>
      <c r="C21" s="135">
        <v>4200</v>
      </c>
      <c r="D21" s="136" t="s">
        <v>25</v>
      </c>
      <c r="E21" s="137"/>
      <c r="F21" s="138">
        <v>45992</v>
      </c>
      <c r="G21" s="139">
        <v>46010</v>
      </c>
      <c r="H21" s="80"/>
      <c r="I21" s="80">
        <f t="shared" si="2"/>
        <v>19</v>
      </c>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row>
    <row r="22" spans="1:65" s="82" customFormat="1" ht="21" customHeight="1" x14ac:dyDescent="0.45">
      <c r="A22" s="12"/>
      <c r="B22" s="134" t="s">
        <v>33</v>
      </c>
      <c r="C22" s="135">
        <v>3800</v>
      </c>
      <c r="D22" s="136" t="s">
        <v>19</v>
      </c>
      <c r="E22" s="137"/>
      <c r="F22" s="138">
        <v>45999</v>
      </c>
      <c r="G22" s="139">
        <v>46031</v>
      </c>
      <c r="H22" s="80"/>
      <c r="I22" s="80">
        <f t="shared" si="2"/>
        <v>33</v>
      </c>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row>
    <row r="23" spans="1:65" s="82" customFormat="1" ht="21" customHeight="1" x14ac:dyDescent="0.45">
      <c r="A23" s="12"/>
      <c r="B23" s="134" t="s">
        <v>34</v>
      </c>
      <c r="C23" s="135">
        <v>3600</v>
      </c>
      <c r="D23" s="136" t="s">
        <v>25</v>
      </c>
      <c r="E23" s="137"/>
      <c r="F23" s="138">
        <v>46034</v>
      </c>
      <c r="G23" s="139">
        <v>46060</v>
      </c>
      <c r="H23" s="80"/>
      <c r="I23" s="80">
        <f t="shared" si="2"/>
        <v>27</v>
      </c>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row>
    <row r="24" spans="1:65" s="82" customFormat="1" ht="21" customHeight="1" x14ac:dyDescent="0.45">
      <c r="A24" s="12"/>
      <c r="B24" s="134" t="s">
        <v>35</v>
      </c>
      <c r="C24" s="135">
        <v>2500</v>
      </c>
      <c r="D24" s="136" t="s">
        <v>22</v>
      </c>
      <c r="E24" s="137"/>
      <c r="F24" s="138">
        <v>46062</v>
      </c>
      <c r="G24" s="139">
        <v>46068</v>
      </c>
      <c r="H24" s="80"/>
      <c r="I24" s="80">
        <f t="shared" si="2"/>
        <v>7</v>
      </c>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row>
    <row r="25" spans="1:65" s="82" customFormat="1" ht="21" customHeight="1" x14ac:dyDescent="0.45">
      <c r="A25" s="12"/>
      <c r="B25" s="140" t="s">
        <v>36</v>
      </c>
      <c r="C25" s="141"/>
      <c r="D25" s="142"/>
      <c r="E25" s="143"/>
      <c r="F25" s="144"/>
      <c r="G25" s="145"/>
      <c r="H25" s="80"/>
      <c r="I25" s="80" t="str">
        <f t="shared" si="2"/>
        <v/>
      </c>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row>
    <row r="26" spans="1:65" s="82" customFormat="1" ht="21" customHeight="1" x14ac:dyDescent="0.45">
      <c r="A26" s="12"/>
      <c r="B26" s="146" t="s">
        <v>37</v>
      </c>
      <c r="C26" s="147">
        <v>900</v>
      </c>
      <c r="D26" s="148" t="s">
        <v>22</v>
      </c>
      <c r="E26" s="149"/>
      <c r="F26" s="150">
        <v>45978</v>
      </c>
      <c r="G26" s="151">
        <v>45985</v>
      </c>
      <c r="H26" s="80"/>
      <c r="I26" s="80">
        <f t="shared" si="2"/>
        <v>8</v>
      </c>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row>
    <row r="27" spans="1:65" s="82" customFormat="1" ht="21" customHeight="1" x14ac:dyDescent="0.45">
      <c r="A27" s="12"/>
      <c r="B27" s="146" t="s">
        <v>38</v>
      </c>
      <c r="C27" s="147">
        <v>1400</v>
      </c>
      <c r="D27" s="148" t="s">
        <v>16</v>
      </c>
      <c r="E27" s="149"/>
      <c r="F27" s="150">
        <v>45986</v>
      </c>
      <c r="G27" s="151">
        <v>46003</v>
      </c>
      <c r="H27" s="80"/>
      <c r="I27" s="80">
        <f t="shared" si="2"/>
        <v>18</v>
      </c>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row>
    <row r="28" spans="1:65" s="82" customFormat="1" ht="21" customHeight="1" x14ac:dyDescent="0.45">
      <c r="A28" s="12"/>
      <c r="B28" s="146" t="s">
        <v>39</v>
      </c>
      <c r="C28" s="147">
        <v>800</v>
      </c>
      <c r="D28" s="148" t="s">
        <v>16</v>
      </c>
      <c r="E28" s="149"/>
      <c r="F28" s="150">
        <v>46006</v>
      </c>
      <c r="G28" s="151">
        <v>46030</v>
      </c>
      <c r="H28" s="80"/>
      <c r="I28" s="80">
        <f t="shared" si="2"/>
        <v>25</v>
      </c>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row>
    <row r="29" spans="1:65" s="82" customFormat="1" ht="21" customHeight="1" x14ac:dyDescent="0.45">
      <c r="A29" s="12"/>
      <c r="B29" s="152" t="s">
        <v>40</v>
      </c>
      <c r="C29" s="153"/>
      <c r="D29" s="154"/>
      <c r="E29" s="155"/>
      <c r="F29" s="156"/>
      <c r="G29" s="157"/>
      <c r="H29" s="80"/>
      <c r="I29" s="80" t="str">
        <f t="shared" si="2"/>
        <v/>
      </c>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row>
    <row r="30" spans="1:65" s="82" customFormat="1" ht="21" customHeight="1" x14ac:dyDescent="0.45">
      <c r="A30" s="12"/>
      <c r="B30" s="158" t="s">
        <v>41</v>
      </c>
      <c r="C30" s="159">
        <v>1200</v>
      </c>
      <c r="D30" s="160" t="s">
        <v>16</v>
      </c>
      <c r="E30" s="161"/>
      <c r="F30" s="162">
        <v>46035</v>
      </c>
      <c r="G30" s="163">
        <v>46042</v>
      </c>
      <c r="H30" s="80"/>
      <c r="I30" s="80">
        <f t="shared" si="2"/>
        <v>8</v>
      </c>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row>
    <row r="31" spans="1:65" s="82" customFormat="1" ht="21" customHeight="1" x14ac:dyDescent="0.45">
      <c r="A31" s="12"/>
      <c r="B31" s="158" t="s">
        <v>42</v>
      </c>
      <c r="C31" s="159">
        <v>1700</v>
      </c>
      <c r="D31" s="160" t="s">
        <v>19</v>
      </c>
      <c r="E31" s="161"/>
      <c r="F31" s="162">
        <v>46043</v>
      </c>
      <c r="G31" s="163">
        <v>46056</v>
      </c>
      <c r="H31" s="80"/>
      <c r="I31" s="80">
        <f t="shared" si="2"/>
        <v>14</v>
      </c>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row>
    <row r="32" spans="1:65" s="82" customFormat="1" ht="21" customHeight="1" x14ac:dyDescent="0.45">
      <c r="A32" s="12"/>
      <c r="B32" s="158" t="s">
        <v>43</v>
      </c>
      <c r="C32" s="159">
        <v>1100</v>
      </c>
      <c r="D32" s="160" t="s">
        <v>22</v>
      </c>
      <c r="E32" s="161"/>
      <c r="F32" s="162">
        <v>46057</v>
      </c>
      <c r="G32" s="163">
        <v>46067</v>
      </c>
      <c r="H32" s="80"/>
      <c r="I32" s="80">
        <f t="shared" si="2"/>
        <v>11</v>
      </c>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row>
    <row r="33" spans="1:65" s="82" customFormat="1" ht="21" customHeight="1" x14ac:dyDescent="0.45">
      <c r="A33" s="12"/>
      <c r="B33" s="158" t="s">
        <v>44</v>
      </c>
      <c r="C33" s="159">
        <v>900</v>
      </c>
      <c r="D33" s="160" t="s">
        <v>25</v>
      </c>
      <c r="E33" s="161"/>
      <c r="F33" s="162">
        <v>46070</v>
      </c>
      <c r="G33" s="163">
        <v>46084</v>
      </c>
      <c r="H33" s="80"/>
      <c r="I33" s="80">
        <f t="shared" si="2"/>
        <v>15</v>
      </c>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row>
    <row r="34" spans="1:65" s="82" customFormat="1" ht="21" customHeight="1" x14ac:dyDescent="0.45">
      <c r="A34" s="12"/>
      <c r="B34" s="164" t="s">
        <v>45</v>
      </c>
      <c r="C34" s="165"/>
      <c r="D34" s="166"/>
      <c r="E34" s="167"/>
      <c r="F34" s="168"/>
      <c r="G34" s="169"/>
      <c r="H34" s="80"/>
      <c r="I34" s="80" t="str">
        <f t="shared" si="2"/>
        <v/>
      </c>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row>
    <row r="35" spans="1:65" s="82" customFormat="1" ht="21" customHeight="1" x14ac:dyDescent="0.45">
      <c r="A35" s="12"/>
      <c r="B35" s="170" t="s">
        <v>46</v>
      </c>
      <c r="C35" s="171">
        <v>700</v>
      </c>
      <c r="D35" s="172" t="s">
        <v>16</v>
      </c>
      <c r="E35" s="173"/>
      <c r="F35" s="174">
        <v>46083</v>
      </c>
      <c r="G35" s="175">
        <v>46087</v>
      </c>
      <c r="H35" s="80"/>
      <c r="I35" s="80">
        <f t="shared" si="2"/>
        <v>5</v>
      </c>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row>
    <row r="36" spans="1:65" s="82" customFormat="1" ht="21" customHeight="1" x14ac:dyDescent="0.45">
      <c r="A36" s="12"/>
      <c r="B36" s="170" t="s">
        <v>47</v>
      </c>
      <c r="C36" s="171">
        <v>2100</v>
      </c>
      <c r="D36" s="172" t="s">
        <v>19</v>
      </c>
      <c r="E36" s="173"/>
      <c r="F36" s="174">
        <v>46090</v>
      </c>
      <c r="G36" s="175">
        <v>46108</v>
      </c>
      <c r="H36" s="80"/>
      <c r="I36" s="80">
        <f t="shared" si="2"/>
        <v>19</v>
      </c>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row>
    <row r="37" spans="1:65" s="82" customFormat="1" ht="21" customHeight="1" x14ac:dyDescent="0.45">
      <c r="A37" s="12"/>
      <c r="B37" s="170" t="s">
        <v>48</v>
      </c>
      <c r="C37" s="171">
        <v>1500</v>
      </c>
      <c r="D37" s="172" t="s">
        <v>25</v>
      </c>
      <c r="E37" s="173"/>
      <c r="F37" s="174">
        <v>46111</v>
      </c>
      <c r="G37" s="175">
        <v>46122</v>
      </c>
      <c r="H37" s="80"/>
      <c r="I37" s="80">
        <f t="shared" si="2"/>
        <v>12</v>
      </c>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row>
    <row r="38" spans="1:65" s="82" customFormat="1" ht="21" customHeight="1" x14ac:dyDescent="0.45">
      <c r="A38" s="12"/>
      <c r="B38" s="92" t="s">
        <v>49</v>
      </c>
      <c r="C38" s="93"/>
      <c r="D38" s="94"/>
      <c r="E38" s="95"/>
      <c r="F38" s="96"/>
      <c r="G38" s="97"/>
      <c r="H38" s="80"/>
      <c r="I38" s="80" t="str">
        <f t="shared" si="2"/>
        <v/>
      </c>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row>
    <row r="39" spans="1:65" s="82" customFormat="1" ht="21" customHeight="1" x14ac:dyDescent="0.45">
      <c r="A39" s="12"/>
      <c r="B39" s="98" t="s">
        <v>50</v>
      </c>
      <c r="C39" s="99">
        <v>1000</v>
      </c>
      <c r="D39" s="100" t="s">
        <v>16</v>
      </c>
      <c r="E39" s="101"/>
      <c r="F39" s="102">
        <v>46128</v>
      </c>
      <c r="G39" s="103">
        <v>46129</v>
      </c>
      <c r="H39" s="80"/>
      <c r="I39" s="80">
        <f t="shared" si="2"/>
        <v>2</v>
      </c>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row>
    <row r="40" spans="1:65" s="82" customFormat="1" ht="21" customHeight="1" x14ac:dyDescent="0.45">
      <c r="A40" s="12"/>
      <c r="B40" s="98" t="s">
        <v>51</v>
      </c>
      <c r="C40" s="99">
        <v>1800</v>
      </c>
      <c r="D40" s="100" t="s">
        <v>22</v>
      </c>
      <c r="E40" s="101"/>
      <c r="F40" s="102">
        <v>46132</v>
      </c>
      <c r="G40" s="103">
        <v>46150</v>
      </c>
      <c r="H40" s="80"/>
      <c r="I40" s="80">
        <f t="shared" si="2"/>
        <v>19</v>
      </c>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row>
    <row r="41" spans="1:65" s="82" customFormat="1" ht="21" customHeight="1" x14ac:dyDescent="0.45">
      <c r="A41" s="12"/>
      <c r="B41" s="98" t="s">
        <v>52</v>
      </c>
      <c r="C41" s="99">
        <v>1600</v>
      </c>
      <c r="D41" s="100" t="s">
        <v>16</v>
      </c>
      <c r="E41" s="101"/>
      <c r="F41" s="102">
        <v>46147</v>
      </c>
      <c r="G41" s="103">
        <v>46164</v>
      </c>
      <c r="H41" s="80"/>
      <c r="I41" s="80">
        <f t="shared" si="2"/>
        <v>18</v>
      </c>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row>
    <row r="42" spans="1:65" s="82" customFormat="1" ht="21" customHeight="1" x14ac:dyDescent="0.45">
      <c r="A42" s="12"/>
      <c r="B42" s="176" t="s">
        <v>53</v>
      </c>
      <c r="C42" s="177"/>
      <c r="D42" s="178"/>
      <c r="E42" s="179"/>
      <c r="F42" s="180"/>
      <c r="G42" s="181"/>
      <c r="H42" s="80"/>
      <c r="I42" s="80" t="str">
        <f t="shared" si="2"/>
        <v/>
      </c>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row>
    <row r="43" spans="1:65" s="82" customFormat="1" ht="21" customHeight="1" x14ac:dyDescent="0.45">
      <c r="A43" s="12"/>
      <c r="B43" s="182" t="s">
        <v>54</v>
      </c>
      <c r="C43" s="183">
        <v>800</v>
      </c>
      <c r="D43" s="184" t="s">
        <v>22</v>
      </c>
      <c r="E43" s="185"/>
      <c r="F43" s="186">
        <v>46167</v>
      </c>
      <c r="G43" s="187">
        <v>46170</v>
      </c>
      <c r="H43" s="80"/>
      <c r="I43" s="80">
        <f t="shared" si="2"/>
        <v>4</v>
      </c>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row>
    <row r="44" spans="1:65" s="82" customFormat="1" ht="21" customHeight="1" x14ac:dyDescent="0.45">
      <c r="A44" s="12"/>
      <c r="B44" s="182" t="s">
        <v>55</v>
      </c>
      <c r="C44" s="183">
        <v>900</v>
      </c>
      <c r="D44" s="184" t="s">
        <v>16</v>
      </c>
      <c r="E44" s="185"/>
      <c r="F44" s="186">
        <v>46171</v>
      </c>
      <c r="G44" s="187">
        <v>46174</v>
      </c>
      <c r="H44" s="80"/>
      <c r="I44" s="80">
        <f t="shared" si="2"/>
        <v>4</v>
      </c>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row>
    <row r="45" spans="1:65" s="82" customFormat="1" ht="21" customHeight="1" x14ac:dyDescent="0.45">
      <c r="A45" s="12"/>
      <c r="B45" s="74"/>
      <c r="C45" s="75"/>
      <c r="D45" s="76"/>
      <c r="E45" s="77"/>
      <c r="F45" s="78"/>
      <c r="G45" s="79"/>
      <c r="H45" s="80"/>
      <c r="I45" s="80" t="str">
        <f t="shared" si="2"/>
        <v/>
      </c>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row>
    <row r="46" spans="1:65" s="82" customFormat="1" ht="21" customHeight="1" x14ac:dyDescent="0.45">
      <c r="A46" s="12"/>
      <c r="B46" s="74"/>
      <c r="C46" s="75"/>
      <c r="D46" s="76"/>
      <c r="E46" s="77"/>
      <c r="F46" s="78"/>
      <c r="G46" s="79"/>
      <c r="H46" s="80"/>
      <c r="I46" s="80" t="str">
        <f t="shared" si="2"/>
        <v/>
      </c>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row>
    <row r="47" spans="1:65" s="82" customFormat="1" ht="21" customHeight="1" x14ac:dyDescent="0.45">
      <c r="A47" s="12"/>
      <c r="B47" s="74"/>
      <c r="C47" s="75"/>
      <c r="D47" s="76"/>
      <c r="E47" s="77"/>
      <c r="F47" s="78"/>
      <c r="G47" s="79"/>
      <c r="H47" s="80"/>
      <c r="I47" s="80" t="str">
        <f t="shared" si="2"/>
        <v/>
      </c>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row>
    <row r="48" spans="1:65" s="82" customFormat="1" ht="21" customHeight="1" x14ac:dyDescent="0.45">
      <c r="A48" s="12"/>
      <c r="B48" s="74"/>
      <c r="C48" s="75"/>
      <c r="D48" s="76"/>
      <c r="E48" s="77"/>
      <c r="F48" s="78"/>
      <c r="G48" s="79"/>
      <c r="H48" s="80"/>
      <c r="I48" s="80" t="str">
        <f t="shared" si="2"/>
        <v/>
      </c>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row>
    <row r="49" spans="1:65" s="82" customFormat="1" ht="21" customHeight="1" x14ac:dyDescent="0.45">
      <c r="A49" s="12"/>
      <c r="B49" s="74"/>
      <c r="C49" s="75"/>
      <c r="D49" s="76"/>
      <c r="E49" s="77"/>
      <c r="F49" s="78"/>
      <c r="G49" s="79"/>
      <c r="H49" s="80"/>
      <c r="I49" s="80" t="str">
        <f t="shared" si="2"/>
        <v/>
      </c>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row>
    <row r="50" spans="1:65" s="82" customFormat="1" ht="21" customHeight="1" x14ac:dyDescent="0.45">
      <c r="A50" s="12"/>
      <c r="B50" s="74"/>
      <c r="C50" s="75"/>
      <c r="D50" s="76"/>
      <c r="E50" s="77"/>
      <c r="F50" s="78"/>
      <c r="G50" s="79"/>
      <c r="H50" s="80"/>
      <c r="I50" s="80"/>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row>
    <row r="51" spans="1:65" s="82" customFormat="1" ht="21" customHeight="1" x14ac:dyDescent="0.45">
      <c r="A51" s="12"/>
      <c r="B51" s="74"/>
      <c r="C51" s="75"/>
      <c r="D51" s="76"/>
      <c r="E51" s="77"/>
      <c r="F51" s="78"/>
      <c r="G51" s="79"/>
      <c r="H51" s="80"/>
      <c r="I51" s="80"/>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row>
    <row r="52" spans="1:65" s="82" customFormat="1" ht="21" customHeight="1" x14ac:dyDescent="0.45">
      <c r="A52" s="12"/>
      <c r="B52" s="74"/>
      <c r="C52" s="75"/>
      <c r="D52" s="76"/>
      <c r="E52" s="77"/>
      <c r="F52" s="78"/>
      <c r="G52" s="79"/>
      <c r="H52" s="80"/>
      <c r="I52" s="80"/>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row>
    <row r="53" spans="1:65" s="82" customFormat="1" ht="21" customHeight="1" x14ac:dyDescent="0.45">
      <c r="A53" s="12"/>
      <c r="B53" s="74"/>
      <c r="C53" s="75"/>
      <c r="D53" s="76"/>
      <c r="E53" s="77"/>
      <c r="F53" s="78"/>
      <c r="G53" s="79"/>
      <c r="H53" s="80"/>
      <c r="I53" s="80"/>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row>
    <row r="54" spans="1:65" s="82" customFormat="1" ht="21" customHeight="1" x14ac:dyDescent="0.45">
      <c r="A54" s="12"/>
      <c r="B54" s="74"/>
      <c r="C54" s="75"/>
      <c r="D54" s="76"/>
      <c r="E54" s="77"/>
      <c r="F54" s="78"/>
      <c r="G54" s="79"/>
      <c r="H54" s="80"/>
      <c r="I54" s="80"/>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row>
    <row r="55" spans="1:65" s="82" customFormat="1" ht="21" customHeight="1" x14ac:dyDescent="0.45">
      <c r="A55" s="12"/>
      <c r="B55" s="74"/>
      <c r="C55" s="75"/>
      <c r="D55" s="76"/>
      <c r="E55" s="77"/>
      <c r="F55" s="78"/>
      <c r="G55" s="79"/>
      <c r="H55" s="80"/>
      <c r="I55" s="80"/>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row>
    <row r="56" spans="1:65" s="82" customFormat="1" ht="21" customHeight="1" x14ac:dyDescent="0.45">
      <c r="A56" s="12"/>
      <c r="B56" s="74"/>
      <c r="C56" s="75"/>
      <c r="D56" s="76"/>
      <c r="E56" s="77"/>
      <c r="F56" s="78"/>
      <c r="G56" s="79"/>
      <c r="H56" s="80"/>
      <c r="I56" s="80"/>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row>
    <row r="57" spans="1:65" s="82" customFormat="1" ht="21" customHeight="1" x14ac:dyDescent="0.45">
      <c r="A57" s="12"/>
      <c r="B57" s="74"/>
      <c r="C57" s="75"/>
      <c r="D57" s="76"/>
      <c r="E57" s="77"/>
      <c r="F57" s="78"/>
      <c r="G57" s="79"/>
      <c r="H57" s="80"/>
      <c r="I57" s="80"/>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row>
    <row r="58" spans="1:65" s="82" customFormat="1" ht="21" customHeight="1" x14ac:dyDescent="0.45">
      <c r="A58" s="12"/>
      <c r="B58" s="74"/>
      <c r="C58" s="75"/>
      <c r="D58" s="76"/>
      <c r="E58" s="77"/>
      <c r="F58" s="78"/>
      <c r="G58" s="79"/>
      <c r="H58" s="80"/>
      <c r="I58" s="80"/>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row>
    <row r="59" spans="1:65" s="82" customFormat="1" ht="21" customHeight="1" x14ac:dyDescent="0.45">
      <c r="A59" s="12"/>
      <c r="B59" s="74"/>
      <c r="C59" s="75"/>
      <c r="D59" s="76"/>
      <c r="E59" s="77"/>
      <c r="F59" s="78"/>
      <c r="G59" s="79"/>
      <c r="H59" s="80"/>
      <c r="I59" s="80"/>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row>
    <row r="60" spans="1:65" s="82" customFormat="1" ht="21" customHeight="1" x14ac:dyDescent="0.45">
      <c r="A60" s="12"/>
      <c r="B60" s="74"/>
      <c r="C60" s="75"/>
      <c r="D60" s="76"/>
      <c r="E60" s="77"/>
      <c r="F60" s="78"/>
      <c r="G60" s="79"/>
      <c r="H60" s="80"/>
      <c r="I60" s="80"/>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row>
    <row r="61" spans="1:65" s="82" customFormat="1" ht="21" customHeight="1" x14ac:dyDescent="0.45">
      <c r="A61" s="12"/>
      <c r="B61" s="74"/>
      <c r="C61" s="75"/>
      <c r="D61" s="76"/>
      <c r="E61" s="77"/>
      <c r="F61" s="78"/>
      <c r="G61" s="79"/>
      <c r="H61" s="80"/>
      <c r="I61" s="80"/>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row>
    <row r="62" spans="1:65" s="82" customFormat="1" ht="21" customHeight="1" x14ac:dyDescent="0.45">
      <c r="A62" s="12"/>
      <c r="B62" s="74"/>
      <c r="C62" s="75"/>
      <c r="D62" s="76"/>
      <c r="E62" s="77"/>
      <c r="F62" s="78"/>
      <c r="G62" s="79"/>
      <c r="H62" s="80"/>
      <c r="I62" s="80"/>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row>
    <row r="63" spans="1:65" s="82" customFormat="1" ht="21" customHeight="1" x14ac:dyDescent="0.45">
      <c r="A63" s="12"/>
      <c r="B63" s="74"/>
      <c r="C63" s="75"/>
      <c r="D63" s="76"/>
      <c r="E63" s="77"/>
      <c r="F63" s="78"/>
      <c r="G63" s="79"/>
      <c r="H63" s="80"/>
      <c r="I63" s="80"/>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row>
    <row r="64" spans="1:65" s="82" customFormat="1" ht="21" customHeight="1" x14ac:dyDescent="0.45">
      <c r="A64" s="12"/>
      <c r="B64" s="74"/>
      <c r="C64" s="75"/>
      <c r="D64" s="76"/>
      <c r="E64" s="77"/>
      <c r="F64" s="78"/>
      <c r="G64" s="79"/>
      <c r="H64" s="80"/>
      <c r="I64" s="80"/>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row>
    <row r="65" spans="1:65" s="82" customFormat="1" ht="21" customHeight="1" x14ac:dyDescent="0.45">
      <c r="A65" s="12"/>
      <c r="B65" s="74"/>
      <c r="C65" s="75"/>
      <c r="D65" s="76"/>
      <c r="E65" s="77"/>
      <c r="F65" s="78"/>
      <c r="G65" s="79"/>
      <c r="H65" s="80"/>
      <c r="I65" s="80"/>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row>
    <row r="66" spans="1:65" s="82" customFormat="1" ht="21" customHeight="1" x14ac:dyDescent="0.45">
      <c r="A66" s="12"/>
      <c r="B66" s="74"/>
      <c r="C66" s="75"/>
      <c r="D66" s="76"/>
      <c r="E66" s="77"/>
      <c r="F66" s="78"/>
      <c r="G66" s="79"/>
      <c r="H66" s="80"/>
      <c r="I66" s="80"/>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row>
    <row r="67" spans="1:65" s="82" customFormat="1" ht="21" customHeight="1" x14ac:dyDescent="0.45">
      <c r="A67" s="12"/>
      <c r="B67" s="74"/>
      <c r="C67" s="75"/>
      <c r="D67" s="76"/>
      <c r="E67" s="77"/>
      <c r="F67" s="78"/>
      <c r="G67" s="79"/>
      <c r="H67" s="80"/>
      <c r="I67" s="80"/>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row>
    <row r="68" spans="1:65" s="82" customFormat="1" ht="21" customHeight="1" x14ac:dyDescent="0.45">
      <c r="A68" s="12"/>
      <c r="B68" s="74"/>
      <c r="C68" s="75"/>
      <c r="D68" s="76"/>
      <c r="E68" s="77"/>
      <c r="F68" s="78"/>
      <c r="G68" s="79"/>
      <c r="H68" s="80"/>
      <c r="I68" s="80"/>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row>
    <row r="69" spans="1:65" s="82" customFormat="1" ht="21" customHeight="1" x14ac:dyDescent="0.45">
      <c r="A69" s="12"/>
      <c r="B69" s="74"/>
      <c r="C69" s="75"/>
      <c r="D69" s="76"/>
      <c r="E69" s="77"/>
      <c r="F69" s="78"/>
      <c r="G69" s="79"/>
      <c r="H69" s="80"/>
      <c r="I69" s="80"/>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row>
    <row r="70" spans="1:65" s="82" customFormat="1" ht="21" customHeight="1" x14ac:dyDescent="0.45">
      <c r="A70" s="12"/>
      <c r="B70" s="74"/>
      <c r="C70" s="75"/>
      <c r="D70" s="76"/>
      <c r="E70" s="77"/>
      <c r="F70" s="78"/>
      <c r="G70" s="79"/>
      <c r="H70" s="80"/>
      <c r="I70" s="80"/>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row>
    <row r="71" spans="1:65" s="82" customFormat="1" ht="21" customHeight="1" x14ac:dyDescent="0.45">
      <c r="A71" s="12"/>
      <c r="B71" s="74"/>
      <c r="C71" s="75"/>
      <c r="D71" s="76"/>
      <c r="E71" s="77"/>
      <c r="F71" s="78"/>
      <c r="G71" s="79"/>
      <c r="H71" s="80"/>
      <c r="I71" s="80"/>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row>
    <row r="72" spans="1:65" s="82" customFormat="1" ht="21" customHeight="1" x14ac:dyDescent="0.45">
      <c r="A72" s="12"/>
      <c r="B72" s="74"/>
      <c r="C72" s="75"/>
      <c r="D72" s="76"/>
      <c r="E72" s="77"/>
      <c r="F72" s="78"/>
      <c r="G72" s="79"/>
      <c r="H72" s="80"/>
      <c r="I72" s="80"/>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row>
    <row r="73" spans="1:65" s="82" customFormat="1" ht="21" customHeight="1" x14ac:dyDescent="0.45">
      <c r="A73" s="12"/>
      <c r="B73" s="74"/>
      <c r="C73" s="75"/>
      <c r="D73" s="76"/>
      <c r="E73" s="77"/>
      <c r="F73" s="78"/>
      <c r="G73" s="79"/>
      <c r="H73" s="80"/>
      <c r="I73" s="80"/>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row>
    <row r="74" spans="1:65" s="82" customFormat="1" ht="21" customHeight="1" x14ac:dyDescent="0.45">
      <c r="A74" s="12"/>
      <c r="B74" s="74"/>
      <c r="C74" s="75"/>
      <c r="D74" s="76"/>
      <c r="E74" s="77"/>
      <c r="F74" s="78"/>
      <c r="G74" s="79"/>
      <c r="H74" s="80"/>
      <c r="I74" s="80"/>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row>
    <row r="75" spans="1:65" s="82" customFormat="1" ht="21" customHeight="1" x14ac:dyDescent="0.45">
      <c r="A75" s="12"/>
      <c r="B75" s="74"/>
      <c r="C75" s="75"/>
      <c r="D75" s="76"/>
      <c r="E75" s="77"/>
      <c r="F75" s="78"/>
      <c r="G75" s="79"/>
      <c r="H75" s="80"/>
      <c r="I75" s="80"/>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row>
    <row r="76" spans="1:65" s="82" customFormat="1" ht="21" customHeight="1" x14ac:dyDescent="0.45">
      <c r="A76" s="12"/>
      <c r="B76" s="74"/>
      <c r="C76" s="75"/>
      <c r="D76" s="76"/>
      <c r="E76" s="77"/>
      <c r="F76" s="78"/>
      <c r="G76" s="79"/>
      <c r="H76" s="80"/>
      <c r="I76" s="80"/>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row>
    <row r="77" spans="1:65" s="82" customFormat="1" ht="21" customHeight="1" x14ac:dyDescent="0.45">
      <c r="A77" s="12"/>
      <c r="B77" s="74"/>
      <c r="C77" s="75"/>
      <c r="D77" s="76"/>
      <c r="E77" s="77"/>
      <c r="F77" s="78"/>
      <c r="G77" s="79"/>
      <c r="H77" s="80"/>
      <c r="I77" s="80"/>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row>
    <row r="78" spans="1:65" s="82" customFormat="1" ht="21" customHeight="1" x14ac:dyDescent="0.45">
      <c r="A78" s="12"/>
      <c r="B78" s="74"/>
      <c r="C78" s="75"/>
      <c r="D78" s="76"/>
      <c r="E78" s="77"/>
      <c r="F78" s="78"/>
      <c r="G78" s="79"/>
      <c r="H78" s="80"/>
      <c r="I78" s="80" t="str">
        <f>IF(OR(ISBLANK(task_start),ISBLANK(task_end)),"",task_end-task_start+1)</f>
        <v/>
      </c>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row>
    <row r="79" spans="1:65" s="82" customFormat="1" ht="21" customHeight="1" x14ac:dyDescent="0.45">
      <c r="A79" s="12"/>
      <c r="B79" s="74"/>
      <c r="C79" s="75"/>
      <c r="D79" s="76"/>
      <c r="E79" s="77"/>
      <c r="F79" s="78"/>
      <c r="G79" s="79"/>
      <c r="H79" s="80"/>
      <c r="I79" s="80" t="str">
        <f>IF(OR(ISBLANK(task_start),ISBLANK(task_end)),"",task_end-task_start+1)</f>
        <v/>
      </c>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row>
    <row r="80" spans="1:65" s="82" customFormat="1" ht="21" customHeight="1" x14ac:dyDescent="0.45">
      <c r="A80" s="12"/>
      <c r="B80" s="74"/>
      <c r="C80" s="75"/>
      <c r="D80" s="76"/>
      <c r="E80" s="77"/>
      <c r="F80" s="78"/>
      <c r="G80" s="79"/>
      <c r="H80" s="80"/>
      <c r="I80" s="80" t="str">
        <f>IF(OR(ISBLANK(task_start),ISBLANK(task_end)),"",task_end-task_start+1)</f>
        <v/>
      </c>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row>
    <row r="81" spans="1:65" s="82" customFormat="1" ht="21" customHeight="1" x14ac:dyDescent="0.45">
      <c r="A81" s="12"/>
      <c r="B81" s="83" t="s">
        <v>56</v>
      </c>
      <c r="C81" s="84"/>
      <c r="D81" s="85"/>
      <c r="E81" s="86"/>
      <c r="F81" s="87"/>
      <c r="G81" s="88"/>
      <c r="H81" s="89"/>
      <c r="I81" s="89" t="str">
        <f>IF(OR(ISBLANK(task_start),ISBLANK(task_end)),"",task_end-task_start+1)</f>
        <v/>
      </c>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row>
    <row r="82" spans="1:65" ht="21" customHeight="1" x14ac:dyDescent="0.45">
      <c r="A82" s="12"/>
      <c r="H82" s="6"/>
    </row>
    <row r="83" spans="1:65" x14ac:dyDescent="0.45">
      <c r="B83" s="10" t="s">
        <v>57</v>
      </c>
      <c r="C83" s="10"/>
      <c r="D83" s="10"/>
      <c r="G83" s="23">
        <v>43113</v>
      </c>
    </row>
    <row r="84" spans="1:65" x14ac:dyDescent="0.45">
      <c r="B84" s="27" t="s">
        <v>58</v>
      </c>
      <c r="C84" s="27"/>
      <c r="D84" s="11"/>
    </row>
    <row r="85" spans="1:65" x14ac:dyDescent="0.45">
      <c r="B85" s="26" t="s">
        <v>59</v>
      </c>
      <c r="C85" s="26"/>
    </row>
  </sheetData>
  <mergeCells count="9">
    <mergeCell ref="K1:AB1"/>
    <mergeCell ref="AL4:AR4"/>
    <mergeCell ref="AS4:AY4"/>
    <mergeCell ref="AZ4:BF4"/>
    <mergeCell ref="BG4:BM4"/>
    <mergeCell ref="J4:P4"/>
    <mergeCell ref="Q4:W4"/>
    <mergeCell ref="X4:AD4"/>
    <mergeCell ref="AE4:AK4"/>
  </mergeCells>
  <conditionalFormatting sqref="E7:E81">
    <cfRule type="dataBar" priority="13">
      <dataBar>
        <cfvo type="num" val="0"/>
        <cfvo type="num" val="1"/>
        <color theme="0" tint="-0.249977111117893"/>
      </dataBar>
    </cfRule>
  </conditionalFormatting>
  <conditionalFormatting sqref="J5:BM81">
    <cfRule type="expression" dxfId="2" priority="28">
      <formula>AND(today&gt;=J$5,today&lt;J$5+1)</formula>
    </cfRule>
  </conditionalFormatting>
  <conditionalFormatting sqref="J7:BM81">
    <cfRule type="expression" dxfId="1" priority="26">
      <formula>AND(task_start&lt;=J$5,ROUNDDOWN((task_end-task_start+1)*task_progress,0)+task_start-1&gt;=J$5)</formula>
    </cfRule>
    <cfRule type="expression" dxfId="0" priority="27" stopIfTrue="1">
      <formula>AND(task_end&gt;=J$5,task_start&lt;J$5+1)</formula>
    </cfRule>
  </conditionalFormatting>
  <dataValidations count="1">
    <dataValidation type="whole" operator="greaterThanOrEqual" allowBlank="1" showInputMessage="1" showErrorMessage="1" promptTitle="Display Week" prompt="Changing this number will scroll the Gantt Chart view." sqref="F4" xr:uid="{00000000-0002-0000-0000-000000000000}">
      <formula1>1</formula1>
    </dataValidation>
  </dataValidations>
  <hyperlinks>
    <hyperlink ref="B83" r:id="rId1" xr:uid="{00000000-0004-0000-0000-000000000000}"/>
    <hyperlink ref="B84" r:id="rId2" xr:uid="{00000000-0004-0000-0000-000001000000}"/>
  </hyperlinks>
  <pageMargins left="0.35" right="0.35" top="0.35" bottom="0.5" header="0.3" footer="0.3"/>
  <pageSetup scale="62" fitToHeight="0" orientation="landscape"/>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8"/>
  <sheetViews>
    <sheetView showGridLines="0" topLeftCell="A17" zoomScaleNormal="100" workbookViewId="0">
      <selection activeCell="B27" sqref="B27"/>
    </sheetView>
  </sheetViews>
  <sheetFormatPr defaultColWidth="9.73046875" defaultRowHeight="14.25" x14ac:dyDescent="0.45"/>
  <cols>
    <col min="1" max="1" width="13.3984375" style="40" customWidth="1"/>
    <col min="2" max="2" width="104" style="48" customWidth="1"/>
    <col min="3" max="3" width="9.73046875" style="33" customWidth="1"/>
    <col min="4" max="16384" width="9.73046875" style="33"/>
  </cols>
  <sheetData>
    <row r="1" spans="1:2" ht="28.5" hidden="1" customHeight="1" x14ac:dyDescent="0.45">
      <c r="A1" s="31"/>
      <c r="B1" s="32" t="s">
        <v>60</v>
      </c>
    </row>
    <row r="2" spans="1:2" ht="38.25" customHeight="1" x14ac:dyDescent="1.1000000000000001">
      <c r="A2" s="49" t="s">
        <v>61</v>
      </c>
      <c r="B2" s="50"/>
    </row>
    <row r="3" spans="1:2" ht="23.25" customHeight="1" x14ac:dyDescent="0.45">
      <c r="A3" s="51" t="s">
        <v>62</v>
      </c>
      <c r="B3" s="52"/>
    </row>
    <row r="4" spans="1:2" s="36" customFormat="1" ht="47.25" customHeight="1" x14ac:dyDescent="0.6">
      <c r="A4" s="34"/>
      <c r="B4" s="35" t="s">
        <v>63</v>
      </c>
    </row>
    <row r="5" spans="1:2" s="36" customFormat="1" ht="19.5" customHeight="1" x14ac:dyDescent="0.6">
      <c r="B5" s="37"/>
    </row>
    <row r="6" spans="1:2" s="36" customFormat="1" ht="19.5" customHeight="1" x14ac:dyDescent="0.6">
      <c r="B6" s="53" t="s">
        <v>64</v>
      </c>
    </row>
    <row r="7" spans="1:2" s="36" customFormat="1" ht="19.5" customHeight="1" x14ac:dyDescent="0.6">
      <c r="B7" s="37"/>
    </row>
    <row r="8" spans="1:2" s="38" customFormat="1" ht="27" customHeight="1" x14ac:dyDescent="0.45">
      <c r="A8" s="54" t="s">
        <v>65</v>
      </c>
      <c r="B8" s="55" t="s">
        <v>66</v>
      </c>
    </row>
    <row r="9" spans="1:2" s="36" customFormat="1" ht="19.5" customHeight="1" x14ac:dyDescent="0.6">
      <c r="A9" s="56"/>
      <c r="B9" s="57" t="s">
        <v>67</v>
      </c>
    </row>
    <row r="10" spans="1:2" ht="15.75" customHeight="1" x14ac:dyDescent="0.45">
      <c r="A10" s="56"/>
      <c r="B10" s="39" t="s">
        <v>68</v>
      </c>
    </row>
    <row r="11" spans="1:2" ht="30" customHeight="1" x14ac:dyDescent="0.45">
      <c r="A11" s="56"/>
      <c r="B11" s="58" t="s">
        <v>1</v>
      </c>
    </row>
    <row r="12" spans="1:2" ht="15.75" customHeight="1" x14ac:dyDescent="0.45">
      <c r="A12" s="56"/>
      <c r="B12" s="39" t="s">
        <v>69</v>
      </c>
    </row>
    <row r="13" spans="1:2" ht="30" customHeight="1" x14ac:dyDescent="0.45">
      <c r="A13" s="56"/>
      <c r="B13" s="58" t="s">
        <v>70</v>
      </c>
    </row>
    <row r="14" spans="1:2" ht="15.75" customHeight="1" x14ac:dyDescent="0.45">
      <c r="A14" s="56"/>
      <c r="B14" s="39" t="s">
        <v>71</v>
      </c>
    </row>
    <row r="15" spans="1:2" s="40" customFormat="1" ht="30" customHeight="1" x14ac:dyDescent="0.45">
      <c r="A15" s="56"/>
      <c r="B15" s="59" t="s">
        <v>72</v>
      </c>
    </row>
    <row r="16" spans="1:2" ht="15.75" customHeight="1" x14ac:dyDescent="0.45">
      <c r="A16" s="56"/>
      <c r="B16" s="39" t="s">
        <v>73</v>
      </c>
    </row>
    <row r="17" spans="1:3" ht="30" customHeight="1" x14ac:dyDescent="0.45">
      <c r="A17" s="56"/>
      <c r="B17" s="58" t="s">
        <v>74</v>
      </c>
    </row>
    <row r="18" spans="1:3" ht="15.75" customHeight="1" x14ac:dyDescent="0.45">
      <c r="A18" s="56"/>
      <c r="B18" s="39" t="s">
        <v>75</v>
      </c>
    </row>
    <row r="19" spans="1:3" ht="30" customHeight="1" x14ac:dyDescent="0.45">
      <c r="A19" s="56"/>
      <c r="B19" s="58" t="s">
        <v>76</v>
      </c>
    </row>
    <row r="20" spans="1:3" ht="15.75" customHeight="1" x14ac:dyDescent="0.45">
      <c r="A20" s="56"/>
      <c r="B20" s="39" t="s">
        <v>77</v>
      </c>
    </row>
    <row r="21" spans="1:3" s="40" customFormat="1" ht="30" customHeight="1" x14ac:dyDescent="0.45">
      <c r="A21" s="56"/>
      <c r="B21" s="59" t="s">
        <v>78</v>
      </c>
    </row>
    <row r="22" spans="1:3" ht="15.75" customHeight="1" x14ac:dyDescent="0.45">
      <c r="A22" s="56"/>
      <c r="B22" s="39" t="s">
        <v>79</v>
      </c>
    </row>
    <row r="23" spans="1:3" ht="30" customHeight="1" x14ac:dyDescent="0.45">
      <c r="A23" s="56"/>
      <c r="B23" s="58" t="s">
        <v>80</v>
      </c>
    </row>
    <row r="24" spans="1:3" ht="15.75" customHeight="1" x14ac:dyDescent="0.45">
      <c r="A24" s="56"/>
      <c r="B24" s="39" t="s">
        <v>81</v>
      </c>
    </row>
    <row r="25" spans="1:3" s="40" customFormat="1" ht="30" customHeight="1" x14ac:dyDescent="0.45">
      <c r="A25" s="56"/>
      <c r="B25" s="59" t="s">
        <v>82</v>
      </c>
    </row>
    <row r="26" spans="1:3" ht="15.75" customHeight="1" x14ac:dyDescent="0.45">
      <c r="A26" s="56"/>
      <c r="B26" s="39" t="s">
        <v>83</v>
      </c>
    </row>
    <row r="27" spans="1:3" s="40" customFormat="1" ht="30" customHeight="1" x14ac:dyDescent="0.45">
      <c r="A27" s="56"/>
      <c r="B27" s="59" t="s">
        <v>84</v>
      </c>
    </row>
    <row r="28" spans="1:3" s="36" customFormat="1" ht="19.5" customHeight="1" x14ac:dyDescent="0.6">
      <c r="A28" s="60"/>
      <c r="B28" s="37"/>
    </row>
    <row r="29" spans="1:3" s="38" customFormat="1" ht="27" customHeight="1" x14ac:dyDescent="0.45">
      <c r="A29" s="54" t="s">
        <v>85</v>
      </c>
      <c r="B29" s="55" t="s">
        <v>86</v>
      </c>
    </row>
    <row r="30" spans="1:3" ht="152.44999999999999" customHeight="1" x14ac:dyDescent="0.45">
      <c r="A30" s="61" t="s">
        <v>87</v>
      </c>
      <c r="B30" s="41" t="str">
        <f>_xlfn.TEXTJOIN(CHAR(10),FALSE,$B$37,AI_Rules,"Here are a few questions the user may have answered to give you more information",$B$10:$B$27,$B$39,$B$40,$B$41)</f>
        <v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Rules for Editing the XLSX File
Always use openpyxl when editing .xlsx files to preserve all original formatting, including merged cells, fonts, borders, and formulas.
The end result of this conversation should be you giving the user a .xlsx file.
Write all dates as real Excel date values (using Python datetime objects) and set only cell.number_format = 'yyyy-mm-dd' to apply the date format. Do not modify cell.style or other properties.
You must follow all of the steps carefully and in order.
Read and follow every word of every line.
Do not skim or summarize.
Here are a few questions the user may have answered to give you more information
Q: What is the name or title of your project?  
Project PoliDemoni
Q: What are you trying to accomplish with this project?  
we are trying to sell our product tu medium-small company
Q: When would you like the project to begin?  
October 1st 2025
Q: When would you like the project to be completed by?  
June 1st 2026
Q: In which city, state, country will this project be completed?
Bergamo, ITA
Q: What are the main steps or key parts of this project that you already know about?  
Develop the Code part, Cooperating work, marketing,  research for source
Q: How detailed would you like your project schedule to be?  
detailed with big steps and with a good timeline
Q: Is there anything else I should know to help create your project schedule?  
good design with good color spaces and headline
Q: If applicable, provide a list of names and their roles for assigning tasks.
Guerini, Zecchini, Mutti, Bertasa
Do not wrap the table in backticks. Always write empty cells as |  | with two spaces.  Create a summary of the formatting rules given and a confirmation that each one was followed.
Fill in the background of each row in a phase with a color specific to that phase, using light colors that will work well with the black text. Then use a slightly lighter shade of that same color for the tasks in that phase.
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v>
      </c>
      <c r="C30" s="42"/>
    </row>
    <row r="31" spans="1:3" s="36" customFormat="1" ht="19.5" customHeight="1" x14ac:dyDescent="0.6">
      <c r="B31" s="37"/>
    </row>
    <row r="32" spans="1:3" s="38" customFormat="1" ht="54" customHeight="1" x14ac:dyDescent="0.45">
      <c r="A32" s="54" t="s">
        <v>88</v>
      </c>
      <c r="B32" s="55" t="s">
        <v>89</v>
      </c>
    </row>
    <row r="33" spans="1:2" ht="304.5" customHeight="1" x14ac:dyDescent="0.45">
      <c r="A33" s="61" t="s">
        <v>87</v>
      </c>
      <c r="B33" s="41" t="str">
        <f>_xlfn.TEXTJOIN(CHAR(10),FALSE,$B$37,"Here are a few questions the user may have answered to give you more information",$B$10:$B$27,$B$39)</f>
        <v>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Here are a few questions the user may have answered to give you more information
Q: What is the name or title of your project?  
Project PoliDemoni
Q: What are you trying to accomplish with this project?  
we are trying to sell our product tu medium-small company
Q: When would you like the project to begin?  
October 1st 2025
Q: When would you like the project to be completed by?  
June 1st 2026
Q: In which city, state, country will this project be completed?
Bergamo, ITA
Q: What are the main steps or key parts of this project that you already know about?  
Develop the Code part, Cooperating work, marketing,  research for source
Q: How detailed would you like your project schedule to be?  
detailed with big steps and with a good timeline
Q: Is there anything else I should know to help create your project schedule?  
good design with good color spaces and headline
Q: If applicable, provide a list of names and their roles for assigning tasks.
Guerini, Zecchini, Mutti, Bertasa
Do not wrap the table in backticks. Always write empty cells as |  | with two spaces.  Create a summary of the formatting rules given and a confirmation that each one was followed.</v>
      </c>
    </row>
    <row r="34" spans="1:2" ht="25.5" customHeight="1" x14ac:dyDescent="0.45">
      <c r="B34" s="43"/>
    </row>
    <row r="35" spans="1:2" ht="23.25" customHeight="1" x14ac:dyDescent="0.45">
      <c r="A35" s="51" t="s">
        <v>90</v>
      </c>
      <c r="B35" s="52"/>
    </row>
    <row r="36" spans="1:2" ht="21" customHeight="1" x14ac:dyDescent="0.45">
      <c r="A36" s="44"/>
      <c r="B36" s="62" t="s">
        <v>91</v>
      </c>
    </row>
    <row r="37" spans="1:2" s="45" customFormat="1" ht="156.75" customHeight="1" x14ac:dyDescent="0.45">
      <c r="A37" s="44"/>
      <c r="B37" s="63" t="s">
        <v>92</v>
      </c>
    </row>
    <row r="38" spans="1:2" ht="21" customHeight="1" x14ac:dyDescent="0.45">
      <c r="A38" s="44"/>
      <c r="B38" s="62" t="s">
        <v>93</v>
      </c>
    </row>
    <row r="39" spans="1:2" ht="28.5" customHeight="1" x14ac:dyDescent="0.45">
      <c r="A39" s="44"/>
      <c r="B39" s="46" t="s">
        <v>94</v>
      </c>
    </row>
    <row r="40" spans="1:2" s="45" customFormat="1" ht="28.5" customHeight="1" x14ac:dyDescent="0.45">
      <c r="A40" s="44"/>
      <c r="B40" s="46" t="s">
        <v>95</v>
      </c>
    </row>
    <row r="41" spans="1:2" s="45" customFormat="1" ht="42.75" customHeight="1" x14ac:dyDescent="0.45">
      <c r="A41" s="44"/>
      <c r="B41" s="64" t="s">
        <v>96</v>
      </c>
    </row>
    <row r="42" spans="1:2" ht="21" customHeight="1" x14ac:dyDescent="0.45">
      <c r="A42" s="44"/>
      <c r="B42" s="62" t="s">
        <v>97</v>
      </c>
    </row>
    <row r="43" spans="1:2" ht="28.5" customHeight="1" x14ac:dyDescent="0.45">
      <c r="A43" s="44"/>
      <c r="B43" s="44" t="s">
        <v>98</v>
      </c>
    </row>
    <row r="44" spans="1:2" x14ac:dyDescent="0.45">
      <c r="A44" s="44"/>
      <c r="B44" s="44" t="s">
        <v>99</v>
      </c>
    </row>
    <row r="45" spans="1:2" ht="28.5" customHeight="1" x14ac:dyDescent="0.45">
      <c r="A45" s="44"/>
      <c r="B45" s="47" t="s">
        <v>100</v>
      </c>
    </row>
    <row r="46" spans="1:2" x14ac:dyDescent="0.45">
      <c r="A46" s="44"/>
      <c r="B46" s="47" t="s">
        <v>101</v>
      </c>
    </row>
    <row r="47" spans="1:2" x14ac:dyDescent="0.45">
      <c r="A47" s="44"/>
      <c r="B47" s="47" t="s">
        <v>102</v>
      </c>
    </row>
    <row r="48" spans="1:2" x14ac:dyDescent="0.45">
      <c r="A48" s="44"/>
      <c r="B48" s="47" t="s">
        <v>103</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22"/>
  <sheetViews>
    <sheetView showGridLines="0" zoomScaleNormal="100" workbookViewId="0"/>
  </sheetViews>
  <sheetFormatPr defaultColWidth="9.1328125" defaultRowHeight="13.15" x14ac:dyDescent="0.4"/>
  <cols>
    <col min="1" max="1" width="2.86328125" style="2" customWidth="1"/>
    <col min="2" max="2" width="87.1328125" style="13" customWidth="1"/>
    <col min="3" max="3" width="9.1328125" style="2" customWidth="1"/>
    <col min="4" max="16384" width="9.1328125" style="2"/>
  </cols>
  <sheetData>
    <row r="1" spans="2:3" ht="46.5" customHeight="1" x14ac:dyDescent="0.4"/>
    <row r="2" spans="2:3" s="15" customFormat="1" ht="15.75" customHeight="1" x14ac:dyDescent="0.45">
      <c r="B2" s="14" t="s">
        <v>57</v>
      </c>
      <c r="C2" s="14"/>
    </row>
    <row r="3" spans="2:3" s="17" customFormat="1" ht="13.5" customHeight="1" x14ac:dyDescent="0.45">
      <c r="B3" s="16" t="s">
        <v>58</v>
      </c>
      <c r="C3" s="16"/>
    </row>
    <row r="4" spans="2:3" x14ac:dyDescent="0.4">
      <c r="B4" s="25" t="s">
        <v>59</v>
      </c>
    </row>
    <row r="6" spans="2:3" s="18" customFormat="1" ht="25.5" customHeight="1" x14ac:dyDescent="0.75">
      <c r="B6" s="20" t="s">
        <v>104</v>
      </c>
    </row>
    <row r="7" spans="2:3" ht="57" customHeight="1" x14ac:dyDescent="0.4">
      <c r="B7" s="21" t="s">
        <v>105</v>
      </c>
    </row>
    <row r="8" spans="2:3" ht="14.25" customHeight="1" x14ac:dyDescent="0.4">
      <c r="B8" s="19"/>
    </row>
    <row r="9" spans="2:3" s="18" customFormat="1" ht="25.5" customHeight="1" x14ac:dyDescent="0.75">
      <c r="B9" s="20" t="s">
        <v>106</v>
      </c>
    </row>
    <row r="10" spans="2:3" ht="42.75" customHeight="1" x14ac:dyDescent="0.4">
      <c r="B10" s="21" t="s">
        <v>107</v>
      </c>
    </row>
    <row r="11" spans="2:3" ht="13.9" customHeight="1" x14ac:dyDescent="0.4">
      <c r="B11" s="22" t="s">
        <v>108</v>
      </c>
    </row>
    <row r="12" spans="2:3" ht="14.25" customHeight="1" x14ac:dyDescent="0.4">
      <c r="B12" s="19"/>
    </row>
    <row r="13" spans="2:3" ht="13.9" customHeight="1" x14ac:dyDescent="0.4">
      <c r="B13" s="22" t="str">
        <f>HYPERLINK("https://vertex42.link/HowToMakeAGanttChart","► Watch How This Gantt Chart Was Created")</f>
        <v>► Watch How This Gantt Chart Was Created</v>
      </c>
    </row>
    <row r="14" spans="2:3" ht="14.25" customHeight="1" x14ac:dyDescent="0.4">
      <c r="B14" s="19"/>
    </row>
    <row r="15" spans="2:3" s="18" customFormat="1" ht="25.5" customHeight="1" x14ac:dyDescent="0.75">
      <c r="B15" s="20" t="s">
        <v>109</v>
      </c>
    </row>
    <row r="16" spans="2:3" ht="28.5" customHeight="1" x14ac:dyDescent="0.4">
      <c r="B16" s="21" t="s">
        <v>110</v>
      </c>
    </row>
    <row r="17" spans="2:2" ht="13.9" customHeight="1" x14ac:dyDescent="0.4">
      <c r="B17" s="22" t="s">
        <v>111</v>
      </c>
    </row>
    <row r="18" spans="2:2" ht="14.25" customHeight="1" x14ac:dyDescent="0.4">
      <c r="B18" s="19"/>
    </row>
    <row r="19" spans="2:2" s="18" customFormat="1" ht="25.5" customHeight="1" x14ac:dyDescent="0.75">
      <c r="B19" s="20" t="s">
        <v>112</v>
      </c>
    </row>
    <row r="20" spans="2:2" ht="57" customHeight="1" x14ac:dyDescent="0.4">
      <c r="B20" s="21" t="s">
        <v>113</v>
      </c>
    </row>
    <row r="21" spans="2:2" ht="14.25" customHeight="1" x14ac:dyDescent="0.4">
      <c r="B21" s="19"/>
    </row>
    <row r="22" spans="2:2" ht="57" customHeight="1" x14ac:dyDescent="0.4">
      <c r="B22" s="21" t="s">
        <v>114</v>
      </c>
    </row>
  </sheetData>
  <hyperlinks>
    <hyperlink ref="B2" r:id="rId1" xr:uid="{00000000-0004-0000-0200-000000000000}"/>
    <hyperlink ref="B3" r:id="rId2" xr:uid="{00000000-0004-0000-0200-000001000000}"/>
    <hyperlink ref="B11" r:id="rId3" xr:uid="{00000000-0004-0000-0200-000002000000}"/>
    <hyperlink ref="B17" r:id="rId4" xr:uid="{00000000-0004-0000-0200-000003000000}"/>
  </hyperlinks>
  <pageMargins left="0.5" right="0.5" top="0.5" bottom="0.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7</vt:i4>
      </vt:variant>
    </vt:vector>
  </HeadingPairs>
  <TitlesOfParts>
    <vt:vector size="10" baseType="lpstr">
      <vt:lpstr>ProjectSchedule</vt:lpstr>
      <vt:lpstr>AI</vt:lpstr>
      <vt:lpstr>About</vt:lpstr>
      <vt:lpstr>AI!AI_Rules</vt:lpstr>
      <vt:lpstr>ProjectSchedule!Area_stampa</vt:lpstr>
      <vt:lpstr>ProjectSchedule!task_end</vt:lpstr>
      <vt:lpstr>ProjectSchedule!task_progress</vt:lpstr>
      <vt:lpstr>ProjectSchedule!task_start</vt:lpstr>
      <vt:lpstr>ProjectSchedule!Titoli_stampa</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 (AI Assisted)</dc:title>
  <dc:creator>Vertex42.com</dc:creator>
  <dc:description>© 2018-2025 Vertex42 LLC. All Rights Reserved.</dc:description>
  <cp:lastModifiedBy>Guerini Tommaso_5BINF</cp:lastModifiedBy>
  <dcterms:created xsi:type="dcterms:W3CDTF">2017-01-09T18:01:51Z</dcterms:created>
  <dcterms:modified xsi:type="dcterms:W3CDTF">2025-10-21T08:54:20Z</dcterms:modified>
</cp:coreProperties>
</file>